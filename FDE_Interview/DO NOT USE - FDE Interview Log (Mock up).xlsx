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amedeloitte.sharepoint.com/sites/ForwardDeployedModel-DesignTeam-FDEOrderBoard/Shared Documents/FDE Recruiting Management/FDE Interviews/"/>
    </mc:Choice>
  </mc:AlternateContent>
  <xr:revisionPtr revIDLastSave="292" documentId="8_{BD44C56B-F05E-4544-83F4-9AAD7514B51C}" xr6:coauthVersionLast="47" xr6:coauthVersionMax="47" xr10:uidLastSave="{9D0FFB54-6DE6-434B-BA8A-64865CBFC096}"/>
  <bookViews>
    <workbookView xWindow="-105" yWindow="0" windowWidth="29010" windowHeight="15585" xr2:uid="{6C74EF05-3E9F-5D42-96F9-848DF15894AC}"/>
  </bookViews>
  <sheets>
    <sheet name="FDE Interview Log" sheetId="1" r:id="rId1"/>
    <sheet name="FDE Interviewers" sheetId="2" r:id="rId2"/>
  </sheets>
  <definedNames>
    <definedName name="_xlnm._FilterDatabase" localSheetId="0" hidden="1">'FDE Interview Log'!$A$2:$AA$2</definedName>
  </definedNames>
  <calcPr calcId="191028" iterateCount="1" calcOnSave="0" concurrentCalc="0" concurrentManual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R3" i="1"/>
</calcChain>
</file>

<file path=xl/sharedStrings.xml><?xml version="1.0" encoding="utf-8"?>
<sst xmlns="http://schemas.openxmlformats.org/spreadsheetml/2006/main" count="557" uniqueCount="166">
  <si>
    <t>CANDIDATE INFO</t>
  </si>
  <si>
    <t>RECRUITER SCREENS</t>
  </si>
  <si>
    <t>Round 1 – Behavioral Screening</t>
  </si>
  <si>
    <t>Round 2 – Panel Solution Review</t>
  </si>
  <si>
    <t>Round 3 – Final Interview</t>
  </si>
  <si>
    <t>HIRED</t>
  </si>
  <si>
    <t>Candidate Name</t>
  </si>
  <si>
    <t>Internal/External</t>
  </si>
  <si>
    <t>Platform/ Technology</t>
  </si>
  <si>
    <t>Application Date</t>
  </si>
  <si>
    <t>Deloitte Recruiter to ask for CVs/ Resumes</t>
  </si>
  <si>
    <t>Days in Cue</t>
  </si>
  <si>
    <t xml:space="preserve"> Pass Y/N</t>
  </si>
  <si>
    <t>R1 Interview Date &amp; Time</t>
  </si>
  <si>
    <t>R1 Interviewer</t>
  </si>
  <si>
    <t>R1 Pass Y/N</t>
  </si>
  <si>
    <t>R2 Panel Date &amp; Time</t>
  </si>
  <si>
    <t>R2 Panelist #1</t>
  </si>
  <si>
    <t>R2  Panelist #2</t>
  </si>
  <si>
    <t>R2 Panelist #3</t>
  </si>
  <si>
    <t>R2 Pass Y/N</t>
  </si>
  <si>
    <t>R3 Interview Date &amp; Time</t>
  </si>
  <si>
    <t>R3 Interviewer</t>
  </si>
  <si>
    <t>R3 Pass Y/N</t>
  </si>
  <si>
    <t>Offer Date</t>
  </si>
  <si>
    <t>Hire Date</t>
  </si>
  <si>
    <t>Start Date</t>
  </si>
  <si>
    <t>Status (Active/ Closed/ Hired)</t>
  </si>
  <si>
    <t>Where in the Process</t>
  </si>
  <si>
    <t>Notes</t>
  </si>
  <si>
    <t>Ackermann, Mylin</t>
  </si>
  <si>
    <t>LinkedIn</t>
  </si>
  <si>
    <t>AWS</t>
  </si>
  <si>
    <t>Matt Whittle (mwhittle@deloitte.com)</t>
  </si>
  <si>
    <t>Y</t>
  </si>
  <si>
    <t xml:space="preserve">Faruk Muratovic </t>
  </si>
  <si>
    <t>ACTIVE</t>
  </si>
  <si>
    <t>Invite to Round 1</t>
  </si>
  <si>
    <t>BACHAPALLY, SAI OOTEJ REDDY</t>
  </si>
  <si>
    <t>Snowflake</t>
  </si>
  <si>
    <t>Paul Lemmon (plemmon@deloitte.com)</t>
  </si>
  <si>
    <t>Jillian Wanner</t>
  </si>
  <si>
    <t>Sanders, Evan</t>
  </si>
  <si>
    <t>Mike Schuler</t>
  </si>
  <si>
    <t>Sinha, Akash</t>
  </si>
  <si>
    <t xml:space="preserve">Mike Schuler </t>
  </si>
  <si>
    <t>Kadarla, Bharath</t>
  </si>
  <si>
    <t>Direct Employers</t>
  </si>
  <si>
    <t>Palantir</t>
  </si>
  <si>
    <t>Boles, Hunter</t>
  </si>
  <si>
    <t>Frontier GenAI</t>
  </si>
  <si>
    <t>Diana Gutman (diagutman@deloitte.com)</t>
  </si>
  <si>
    <t>Lecong, Phuong</t>
  </si>
  <si>
    <t>Elizondo Sanchez, Angel Adrian</t>
  </si>
  <si>
    <t>Employee Referral</t>
  </si>
  <si>
    <t xml:space="preserve">Jon Smyrl </t>
  </si>
  <si>
    <t>Marathe, Aparna</t>
  </si>
  <si>
    <t>Alumni Referral</t>
  </si>
  <si>
    <t>Phuong Lecong</t>
  </si>
  <si>
    <t>Vajrapu, Satya Sai Naga Venkata Kumar</t>
  </si>
  <si>
    <t>Dandu, Narendar</t>
  </si>
  <si>
    <t>Indeed</t>
  </si>
  <si>
    <t>Round 1 Conducted</t>
  </si>
  <si>
    <t>Christoforidis, Alexandros</t>
  </si>
  <si>
    <t>Ojha, Keerti</t>
  </si>
  <si>
    <t>Tirumala, Nishit</t>
  </si>
  <si>
    <t>Databricks</t>
  </si>
  <si>
    <t xml:space="preserve">Phuong Lecong </t>
  </si>
  <si>
    <t>Invite to Round 2</t>
  </si>
  <si>
    <t>Baskaran, Ramasamy</t>
  </si>
  <si>
    <t>Brijraj Limbad</t>
  </si>
  <si>
    <t>Dewan, Anupam</t>
  </si>
  <si>
    <t>Kakarla, Vinod</t>
  </si>
  <si>
    <t>Jon Smyrl</t>
  </si>
  <si>
    <t xml:space="preserve"> Faruk Muratovic</t>
  </si>
  <si>
    <t>Modh, Pranav</t>
  </si>
  <si>
    <t>John Zimmerman</t>
  </si>
  <si>
    <t>Mike Urbanczyk</t>
  </si>
  <si>
    <t>Su, Shuo</t>
  </si>
  <si>
    <t xml:space="preserve">Brijraj Limbad </t>
  </si>
  <si>
    <t>Vadde, Krishnan</t>
  </si>
  <si>
    <t>Faruk Muratovic</t>
  </si>
  <si>
    <t>N</t>
  </si>
  <si>
    <t>Muley, Gaurav</t>
  </si>
  <si>
    <t>Agency Referral</t>
  </si>
  <si>
    <t>Tony Witherspoon</t>
  </si>
  <si>
    <t>Gibbs, Justin</t>
  </si>
  <si>
    <t>Deloitte US Careers</t>
  </si>
  <si>
    <t>Prakul Sharma</t>
  </si>
  <si>
    <t>Hourani, Mark</t>
  </si>
  <si>
    <t>Tim Juravic</t>
  </si>
  <si>
    <t>Chris Carella</t>
  </si>
  <si>
    <t>Miranda, Maxcimiliano</t>
  </si>
  <si>
    <t>CLOSED</t>
  </si>
  <si>
    <t>Withdrew</t>
  </si>
  <si>
    <t>Ganguly, Paromita</t>
  </si>
  <si>
    <t xml:space="preserve">Mark Urbanczyk </t>
  </si>
  <si>
    <t>Invite to Round 3</t>
  </si>
  <si>
    <t>Falen, Zachary</t>
  </si>
  <si>
    <t>Rehire</t>
  </si>
  <si>
    <t>Tim Juravich</t>
  </si>
  <si>
    <t xml:space="preserve">Chris Carella </t>
  </si>
  <si>
    <t>Ready to Onboard</t>
  </si>
  <si>
    <t>Adhikari, Shashi</t>
  </si>
  <si>
    <t>Invited to Recruiter Screen</t>
  </si>
  <si>
    <t>Akram, Russell</t>
  </si>
  <si>
    <t>Other - Conference or Alliance</t>
  </si>
  <si>
    <t>Recruiter Screen Conducted</t>
  </si>
  <si>
    <t>Alterman, Hershel</t>
  </si>
  <si>
    <t>Recruiter Screen Scheduled</t>
  </si>
  <si>
    <t>Ananthanarayan, Sanjay</t>
  </si>
  <si>
    <t>LinkedInSponsored</t>
  </si>
  <si>
    <t>Ananthapadmanabhan, Sivasubramanian</t>
  </si>
  <si>
    <t>Avasarala, Sriharshitha</t>
  </si>
  <si>
    <t>Bangalore Harish, Kushal</t>
  </si>
  <si>
    <t>Butler, Miles</t>
  </si>
  <si>
    <t>Chavan, Prajakta</t>
  </si>
  <si>
    <t>Chintakunta, Namatha</t>
  </si>
  <si>
    <t>Cp, Rudrama</t>
  </si>
  <si>
    <t>Dubey, Shivam</t>
  </si>
  <si>
    <t>Erwin, Derek</t>
  </si>
  <si>
    <t>Garcia, Josue</t>
  </si>
  <si>
    <t>Gogate, Anuja Vishvas</t>
  </si>
  <si>
    <t>Goyal, Vinit</t>
  </si>
  <si>
    <t>Hill, KATHLEEN</t>
  </si>
  <si>
    <t>Jha, Sonali</t>
  </si>
  <si>
    <t>Kalaiyarasan, Keerthika</t>
  </si>
  <si>
    <t>Kumar, Vikash</t>
  </si>
  <si>
    <t>Kumar.u, Kishore</t>
  </si>
  <si>
    <t>Le, Vinh</t>
  </si>
  <si>
    <t>Lim, Daehan</t>
  </si>
  <si>
    <t>Malone, Derrick</t>
  </si>
  <si>
    <t>Muthyala, Saichaitanya</t>
  </si>
  <si>
    <t>Narravula, SREENIVASULU</t>
  </si>
  <si>
    <t>Papaiahgari, Keerthi Reddy</t>
  </si>
  <si>
    <t>Patel, Ankit</t>
  </si>
  <si>
    <t>Paul, Andrew</t>
  </si>
  <si>
    <t>Prasad, Kethavath</t>
  </si>
  <si>
    <t>Deloitte Alumni Site</t>
  </si>
  <si>
    <t>Rajendra, Akhila</t>
  </si>
  <si>
    <t>Glassdoor</t>
  </si>
  <si>
    <t>Ranjan, Ashish</t>
  </si>
  <si>
    <t>Sai Gattu, Yashwanth</t>
  </si>
  <si>
    <t>Sattler, Evan R.</t>
  </si>
  <si>
    <t>Singh, Gaurav</t>
  </si>
  <si>
    <t>Sudharsan, Sriram</t>
  </si>
  <si>
    <t>URUMU, SAI ADITYA</t>
  </si>
  <si>
    <t>Veluguri, Venkata</t>
  </si>
  <si>
    <t>Vuyyuru, Bhavana Reddy</t>
  </si>
  <si>
    <t>Recruiting Management POC: @Goss, Angela, @Bennett, Jeffrey</t>
  </si>
  <si>
    <t>Initial 1:1 behavioral, followed by problem set up if candidate passes</t>
  </si>
  <si>
    <t>Panel review of candidate’s working software/agentic solution</t>
  </si>
  <si>
    <t>1:1 with one of FDE Team leaders</t>
  </si>
  <si>
    <t xml:space="preserve">
Faruk Muratovic 
Akash Tayal
Tim Juravich
Prakul Sharma
Jillian Wanner
Baris Sarer
Jon Smyrl
Mike Schuler
Phuong Lecong 
Roy Yang
Frank Cantelmi
Chris Carella
Johnny Araujo</t>
  </si>
  <si>
    <r>
      <t>One of the interviewers from Round 1 </t>
    </r>
    <r>
      <rPr>
        <b/>
        <sz val="16"/>
        <color theme="1"/>
        <rFont val="Arial"/>
        <family val="2"/>
      </rPr>
      <t>+</t>
    </r>
    <r>
      <rPr>
        <b/>
        <sz val="9"/>
        <color theme="1"/>
        <rFont val="Arial"/>
        <family val="2"/>
      </rPr>
      <t>  one to two of the following (</t>
    </r>
    <r>
      <rPr>
        <b/>
        <i/>
        <sz val="9"/>
        <color theme="1"/>
        <rFont val="Arial"/>
        <family val="2"/>
      </rPr>
      <t>or their selected delegate)</t>
    </r>
    <r>
      <rPr>
        <b/>
        <sz val="9"/>
        <color theme="1"/>
        <rFont val="Arial"/>
        <family val="2"/>
      </rPr>
      <t xml:space="preserve">:
</t>
    </r>
  </si>
  <si>
    <t xml:space="preserve">
Faruk Muratovic 
Jason Wainstein 
Mark Urbanzyk
Tim Juravich
(or delegate)
</t>
  </si>
  <si>
    <r>
      <t xml:space="preserve">Anthropic
</t>
    </r>
    <r>
      <rPr>
        <sz val="9"/>
        <color theme="1"/>
        <rFont val="Arial"/>
        <family val="2"/>
      </rPr>
      <t>- Chris Carella
- Prakul Sharma
- Vinay Lekhraju
- Jatin Dave
- Ashish Chandra
- Adrian Mendoza
- Phuong Lecong</t>
    </r>
  </si>
  <si>
    <r>
      <t>Databricks</t>
    </r>
    <r>
      <rPr>
        <sz val="9"/>
        <color theme="1"/>
        <rFont val="Arial"/>
        <family val="2"/>
      </rPr>
      <t xml:space="preserve">
- Mani Kandasamy
- Brijraj Limbad
- Joyce Snelders
- Gayathri Ramaswami
- Vinay Lekhraju</t>
    </r>
  </si>
  <si>
    <r>
      <t xml:space="preserve">Snowflake
</t>
    </r>
    <r>
      <rPr>
        <sz val="9"/>
        <color theme="1"/>
        <rFont val="Arial"/>
        <family val="2"/>
      </rPr>
      <t>- Rupesh Dandekar
- Mainak Sarkar</t>
    </r>
  </si>
  <si>
    <r>
      <t xml:space="preserve">AWS w/ its relevant AI Engineering Products
</t>
    </r>
    <r>
      <rPr>
        <sz val="9"/>
        <color theme="1"/>
        <rFont val="Arial"/>
        <family val="2"/>
      </rPr>
      <t>- Tony Witherspoon
- Phuong Lecong 
- Mike Schuler</t>
    </r>
  </si>
  <si>
    <r>
      <t xml:space="preserve">Google w/ its relevant AI Enterprise Products
</t>
    </r>
    <r>
      <rPr>
        <sz val="9"/>
        <color theme="1"/>
        <rFont val="Arial"/>
        <family val="2"/>
      </rPr>
      <t>- Mamoun Hirzalla
- Renuka Balasubramaniam
- Sandeep Arora
- David Zhu</t>
    </r>
  </si>
  <si>
    <r>
      <t xml:space="preserve">OpenAI
</t>
    </r>
    <r>
      <rPr>
        <sz val="9"/>
        <color theme="1"/>
        <rFont val="Arial"/>
        <family val="2"/>
      </rPr>
      <t>- Niraj Juneja
- Manoj Suvaran</t>
    </r>
  </si>
  <si>
    <r>
      <t xml:space="preserve">Microsoft w/ its relevant AI Enterprise Products: 
</t>
    </r>
    <r>
      <rPr>
        <sz val="9"/>
        <color theme="1"/>
        <rFont val="Arial"/>
        <family val="2"/>
      </rPr>
      <t>- Scott Rodgers
- Tyson Thedinger</t>
    </r>
  </si>
  <si>
    <r>
      <t xml:space="preserve">Salesforce
</t>
    </r>
    <r>
      <rPr>
        <sz val="9"/>
        <color theme="1"/>
        <rFont val="Arial"/>
        <family val="2"/>
      </rPr>
      <t>- Matt Fisher
- Yash Agarwal</t>
    </r>
  </si>
  <si>
    <r>
      <t xml:space="preserve">ServiceNow
</t>
    </r>
    <r>
      <rPr>
        <sz val="9"/>
        <color theme="1"/>
        <rFont val="Arial"/>
        <family val="2"/>
      </rPr>
      <t>- Matt Edward Ku
- Krishnakant Dave</t>
    </r>
  </si>
  <si>
    <t>Other platforms ramping up and  respective CTOs will be part of and recommend interview panelists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</si>
</sst>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242424"/>
      <name val="Arial"/>
      <family val="2"/>
    </font>
    <font>
      <b/>
      <sz val="12"/>
      <color theme="0"/>
      <name val="Aptos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6"/>
      <color theme="1"/>
      <name val="Arial"/>
      <family val="2"/>
    </font>
    <font>
      <b/>
      <i/>
      <sz val="9"/>
      <color theme="1"/>
      <name val="Arial"/>
      <family val="2"/>
    </font>
    <font>
      <sz val="12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1" fillId="5" borderId="0" xfId="0" applyFont="1" applyFill="1" applyAlignment="1">
      <alignment horizontal="center" vertical="top" wrapText="1"/>
    </xf>
    <xf numFmtId="0" fontId="1" fillId="7" borderId="0" xfId="0" applyFont="1" applyFill="1" applyAlignment="1">
      <alignment vertical="top" wrapText="1"/>
    </xf>
    <xf numFmtId="0" fontId="2" fillId="7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8" borderId="0" xfId="0" applyFill="1"/>
    <xf numFmtId="0" fontId="1" fillId="8" borderId="0" xfId="0" applyFont="1" applyFill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/>
    <xf numFmtId="15" fontId="6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4" borderId="0" xfId="0" applyFont="1" applyFill="1" applyAlignment="1">
      <alignment horizontal="center" vertical="top" wrapText="1"/>
    </xf>
    <xf numFmtId="0" fontId="4" fillId="6" borderId="0" xfId="0" applyFont="1" applyFill="1" applyAlignment="1">
      <alignment horizontal="center" vertical="top" wrapText="1"/>
    </xf>
    <xf numFmtId="14" fontId="6" fillId="0" borderId="0" xfId="0" applyNumberFormat="1" applyFont="1" applyAlignment="1">
      <alignment horizontal="center"/>
    </xf>
    <xf numFmtId="0" fontId="8" fillId="9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top" wrapText="1"/>
    </xf>
    <xf numFmtId="0" fontId="11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4" fillId="0" borderId="0" xfId="0" applyFont="1"/>
    <xf numFmtId="0" fontId="2" fillId="5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0" fillId="0" borderId="0" xfId="0" applyFont="1" applyAlignment="1">
      <alignment horizontal="center" vertical="top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 patternType="solid">
          <fgColor auto="1"/>
          <bgColor theme="0" tint="-0.14996795556505021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ill>
        <patternFill patternType="solid">
          <fgColor auto="1"/>
          <bgColor theme="0" tint="-0.14996795556505021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D91B-02D5-424D-A63E-BC6FA9A79439}">
  <dimension ref="A1:AA71"/>
  <sheetViews>
    <sheetView tabSelected="1" zoomScale="162" zoomScaleNormal="162" workbookViewId="0">
      <selection activeCell="L3" sqref="L3"/>
    </sheetView>
  </sheetViews>
  <sheetFormatPr defaultColWidth="11" defaultRowHeight="15.75" customHeight="1"/>
  <cols>
    <col min="1" max="1" width="34.625" bestFit="1" customWidth="1"/>
    <col min="2" max="2" width="14.875" bestFit="1" customWidth="1"/>
    <col min="3" max="3" width="15.875" customWidth="1"/>
    <col min="4" max="4" width="14.375" customWidth="1"/>
    <col min="5" max="5" width="35.375" customWidth="1"/>
    <col min="6" max="6" width="6.875" customWidth="1"/>
    <col min="7" max="7" width="12.625" customWidth="1"/>
    <col min="8" max="8" width="6.875" customWidth="1"/>
    <col min="9" max="9" width="15.875" style="12" customWidth="1"/>
    <col min="10" max="10" width="25.875" style="9" customWidth="1"/>
    <col min="11" max="11" width="9.625" style="21" customWidth="1"/>
    <col min="12" max="12" width="6.875" customWidth="1"/>
    <col min="13" max="13" width="15.875" style="12" customWidth="1"/>
    <col min="14" max="16" width="25.875" customWidth="1"/>
    <col min="17" max="17" width="9" customWidth="1"/>
    <col min="18" max="18" width="6.875" customWidth="1"/>
    <col min="19" max="19" width="15.875" style="12" customWidth="1"/>
    <col min="20" max="20" width="25.875" customWidth="1"/>
    <col min="21" max="21" width="8" style="12" customWidth="1"/>
    <col min="22" max="22" width="14.375" customWidth="1"/>
    <col min="23" max="25" width="14.375" style="12" customWidth="1"/>
    <col min="26" max="26" width="22.875" bestFit="1" customWidth="1"/>
    <col min="27" max="27" width="59.125" customWidth="1"/>
  </cols>
  <sheetData>
    <row r="1" spans="1:27" ht="15.95">
      <c r="A1" s="33" t="s">
        <v>0</v>
      </c>
      <c r="B1" s="33"/>
      <c r="C1" s="33"/>
      <c r="D1" s="33"/>
      <c r="E1" s="8"/>
      <c r="F1" s="34" t="s">
        <v>1</v>
      </c>
      <c r="G1" s="34"/>
      <c r="H1" s="35" t="s">
        <v>2</v>
      </c>
      <c r="I1" s="35"/>
      <c r="J1" s="35"/>
      <c r="K1" s="35"/>
      <c r="L1" s="36" t="s">
        <v>3</v>
      </c>
      <c r="M1" s="36"/>
      <c r="N1" s="36"/>
      <c r="O1" s="36"/>
      <c r="P1" s="36"/>
      <c r="Q1" s="36"/>
      <c r="R1" s="37" t="s">
        <v>4</v>
      </c>
      <c r="S1" s="37"/>
      <c r="T1" s="37"/>
      <c r="U1" s="37"/>
      <c r="V1" s="32" t="s">
        <v>5</v>
      </c>
      <c r="W1" s="32"/>
      <c r="X1" s="32"/>
      <c r="Y1" s="10"/>
      <c r="Z1" s="10"/>
      <c r="AA1" s="10"/>
    </row>
    <row r="2" spans="1:27" s="1" customFormat="1" ht="57.95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2" t="s">
        <v>11</v>
      </c>
      <c r="G2" s="2" t="s">
        <v>12</v>
      </c>
      <c r="H2" s="3" t="s">
        <v>11</v>
      </c>
      <c r="I2" s="19" t="s">
        <v>13</v>
      </c>
      <c r="J2" s="3" t="s">
        <v>14</v>
      </c>
      <c r="K2" s="19" t="s">
        <v>15</v>
      </c>
      <c r="L2" s="4" t="s">
        <v>11</v>
      </c>
      <c r="M2" s="22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5" t="s">
        <v>11</v>
      </c>
      <c r="S2" s="23" t="s">
        <v>21</v>
      </c>
      <c r="T2" s="5" t="s">
        <v>22</v>
      </c>
      <c r="U2" s="23" t="s">
        <v>23</v>
      </c>
      <c r="V2" s="6" t="s">
        <v>24</v>
      </c>
      <c r="W2" s="6" t="s">
        <v>25</v>
      </c>
      <c r="X2" s="6" t="s">
        <v>26</v>
      </c>
      <c r="Y2" s="11" t="s">
        <v>27</v>
      </c>
      <c r="Z2" s="11" t="s">
        <v>28</v>
      </c>
      <c r="AA2" s="11" t="s">
        <v>29</v>
      </c>
    </row>
    <row r="3" spans="1:27" s="14" customFormat="1" ht="12.6">
      <c r="A3" s="13" t="s">
        <v>30</v>
      </c>
      <c r="B3" s="13" t="s">
        <v>31</v>
      </c>
      <c r="C3" s="13" t="s">
        <v>32</v>
      </c>
      <c r="E3" s="14" t="s">
        <v>33</v>
      </c>
      <c r="G3" s="15" t="s">
        <v>34</v>
      </c>
      <c r="I3" s="18">
        <v>46148</v>
      </c>
      <c r="J3" s="16" t="s">
        <v>35</v>
      </c>
      <c r="K3" s="20"/>
      <c r="L3" s="14">
        <f ca="1">IF(OR(K3="N",I3=""),"N/A",IF(M3="",TODAY()-I3,M3-I3))</f>
        <v>-2</v>
      </c>
      <c r="M3" s="15"/>
      <c r="R3" s="14" t="str">
        <f t="shared" ref="R3:R66" ca="1" si="0">IF(OR(Q3="N",M3=""),"N/A",IF(S3="",TODAY()-M3,S3-M3))</f>
        <v>N/A</v>
      </c>
      <c r="S3" s="15"/>
      <c r="U3" s="15"/>
      <c r="W3" s="15"/>
      <c r="X3" s="15"/>
      <c r="Y3" s="15" t="s">
        <v>36</v>
      </c>
      <c r="Z3" s="13" t="s">
        <v>37</v>
      </c>
    </row>
    <row r="4" spans="1:27" s="14" customFormat="1" ht="15.75" customHeight="1">
      <c r="A4" s="13" t="s">
        <v>38</v>
      </c>
      <c r="B4" s="13" t="s">
        <v>31</v>
      </c>
      <c r="C4" s="13" t="s">
        <v>39</v>
      </c>
      <c r="E4" s="14" t="s">
        <v>40</v>
      </c>
      <c r="G4" s="15" t="s">
        <v>34</v>
      </c>
      <c r="I4" s="18">
        <v>46148</v>
      </c>
      <c r="J4" s="16" t="s">
        <v>41</v>
      </c>
      <c r="K4" s="20"/>
      <c r="L4" s="14">
        <f t="shared" ref="L4:L67" ca="1" si="1">IF(OR(K4="N",I4=""),"N/A",IF(M4="",TODAY()-I4,M4-I4))</f>
        <v>-2</v>
      </c>
      <c r="M4" s="15"/>
      <c r="R4" s="14" t="str">
        <f t="shared" ca="1" si="0"/>
        <v>N/A</v>
      </c>
      <c r="S4" s="15"/>
      <c r="U4" s="15"/>
      <c r="W4" s="15"/>
      <c r="X4" s="15"/>
      <c r="Y4" s="15" t="s">
        <v>36</v>
      </c>
      <c r="Z4" s="13" t="s">
        <v>37</v>
      </c>
    </row>
    <row r="5" spans="1:27" s="14" customFormat="1" ht="15.75" customHeight="1">
      <c r="A5" s="13" t="s">
        <v>42</v>
      </c>
      <c r="B5" s="13" t="s">
        <v>31</v>
      </c>
      <c r="C5" s="13" t="s">
        <v>32</v>
      </c>
      <c r="E5" s="14" t="s">
        <v>33</v>
      </c>
      <c r="G5" s="15" t="s">
        <v>34</v>
      </c>
      <c r="I5" s="18">
        <v>46148</v>
      </c>
      <c r="J5" s="16" t="s">
        <v>43</v>
      </c>
      <c r="K5" s="20"/>
      <c r="L5" s="14">
        <f t="shared" ca="1" si="1"/>
        <v>-2</v>
      </c>
      <c r="M5" s="15"/>
      <c r="R5" s="14" t="str">
        <f t="shared" ca="1" si="0"/>
        <v>N/A</v>
      </c>
      <c r="S5" s="15"/>
      <c r="U5" s="15"/>
      <c r="W5" s="15"/>
      <c r="X5" s="15"/>
      <c r="Y5" s="15" t="s">
        <v>36</v>
      </c>
      <c r="Z5" s="13" t="s">
        <v>37</v>
      </c>
    </row>
    <row r="6" spans="1:27" s="14" customFormat="1" ht="15.75" customHeight="1">
      <c r="A6" s="13" t="s">
        <v>44</v>
      </c>
      <c r="B6" s="13" t="s">
        <v>31</v>
      </c>
      <c r="C6" s="13" t="s">
        <v>32</v>
      </c>
      <c r="E6" s="14" t="s">
        <v>33</v>
      </c>
      <c r="G6" s="15" t="s">
        <v>34</v>
      </c>
      <c r="I6" s="18">
        <v>46147</v>
      </c>
      <c r="J6" s="16" t="s">
        <v>45</v>
      </c>
      <c r="K6" s="20"/>
      <c r="L6" s="14">
        <f t="shared" ca="1" si="1"/>
        <v>-1</v>
      </c>
      <c r="M6" s="15"/>
      <c r="R6" s="14" t="str">
        <f t="shared" ca="1" si="0"/>
        <v>N/A</v>
      </c>
      <c r="S6" s="15"/>
      <c r="U6" s="15"/>
      <c r="W6" s="15"/>
      <c r="X6" s="15"/>
      <c r="Y6" s="15" t="s">
        <v>36</v>
      </c>
      <c r="Z6" s="13" t="s">
        <v>37</v>
      </c>
    </row>
    <row r="7" spans="1:27" s="14" customFormat="1" ht="15.75" customHeight="1">
      <c r="A7" s="13" t="s">
        <v>46</v>
      </c>
      <c r="B7" s="13" t="s">
        <v>47</v>
      </c>
      <c r="C7" s="13" t="s">
        <v>48</v>
      </c>
      <c r="E7" s="14" t="s">
        <v>40</v>
      </c>
      <c r="G7" s="15" t="s">
        <v>34</v>
      </c>
      <c r="I7" s="18">
        <v>46146</v>
      </c>
      <c r="J7" s="16" t="s">
        <v>43</v>
      </c>
      <c r="K7" s="20"/>
      <c r="L7" s="14">
        <f t="shared" ca="1" si="1"/>
        <v>0</v>
      </c>
      <c r="M7" s="15"/>
      <c r="R7" s="14" t="str">
        <f t="shared" ca="1" si="0"/>
        <v>N/A</v>
      </c>
      <c r="S7" s="15"/>
      <c r="U7" s="15"/>
      <c r="W7" s="15"/>
      <c r="X7" s="15"/>
      <c r="Y7" s="15" t="s">
        <v>36</v>
      </c>
      <c r="Z7" s="13" t="s">
        <v>37</v>
      </c>
    </row>
    <row r="8" spans="1:27" s="14" customFormat="1" ht="15.75" customHeight="1">
      <c r="A8" s="13" t="s">
        <v>49</v>
      </c>
      <c r="B8" s="13" t="s">
        <v>31</v>
      </c>
      <c r="C8" s="13" t="s">
        <v>50</v>
      </c>
      <c r="E8" s="14" t="s">
        <v>51</v>
      </c>
      <c r="G8" s="15" t="s">
        <v>34</v>
      </c>
      <c r="I8" s="18">
        <v>46143</v>
      </c>
      <c r="J8" s="16" t="s">
        <v>52</v>
      </c>
      <c r="K8" s="20"/>
      <c r="L8" s="14">
        <f t="shared" ca="1" si="1"/>
        <v>3</v>
      </c>
      <c r="M8" s="15"/>
      <c r="R8" s="14" t="str">
        <f t="shared" ca="1" si="0"/>
        <v>N/A</v>
      </c>
      <c r="S8" s="15"/>
      <c r="U8" s="15"/>
      <c r="W8" s="15"/>
      <c r="X8" s="15"/>
      <c r="Y8" s="15" t="s">
        <v>36</v>
      </c>
      <c r="Z8" s="13" t="s">
        <v>37</v>
      </c>
    </row>
    <row r="9" spans="1:27" s="14" customFormat="1" ht="15.75" customHeight="1">
      <c r="A9" s="13" t="s">
        <v>53</v>
      </c>
      <c r="B9" s="13" t="s">
        <v>54</v>
      </c>
      <c r="C9" s="13" t="s">
        <v>48</v>
      </c>
      <c r="E9" s="14" t="s">
        <v>40</v>
      </c>
      <c r="G9" s="15" t="s">
        <v>34</v>
      </c>
      <c r="I9" s="18">
        <v>46143</v>
      </c>
      <c r="J9" s="16" t="s">
        <v>55</v>
      </c>
      <c r="K9" s="20"/>
      <c r="L9" s="14">
        <f t="shared" ca="1" si="1"/>
        <v>3</v>
      </c>
      <c r="M9" s="15"/>
      <c r="R9" s="14" t="str">
        <f t="shared" ca="1" si="0"/>
        <v>N/A</v>
      </c>
      <c r="S9" s="15"/>
      <c r="U9" s="15"/>
      <c r="W9" s="15"/>
      <c r="X9" s="15"/>
      <c r="Y9" s="15" t="s">
        <v>36</v>
      </c>
      <c r="Z9" s="13" t="s">
        <v>37</v>
      </c>
    </row>
    <row r="10" spans="1:27" s="14" customFormat="1" ht="12.6">
      <c r="A10" s="13" t="s">
        <v>56</v>
      </c>
      <c r="B10" s="13" t="s">
        <v>57</v>
      </c>
      <c r="C10" s="13" t="s">
        <v>50</v>
      </c>
      <c r="E10" s="14" t="s">
        <v>51</v>
      </c>
      <c r="G10" s="15" t="s">
        <v>34</v>
      </c>
      <c r="I10" s="18">
        <v>46143</v>
      </c>
      <c r="J10" s="16" t="s">
        <v>58</v>
      </c>
      <c r="K10" s="20"/>
      <c r="L10" s="14">
        <f t="shared" ca="1" si="1"/>
        <v>3</v>
      </c>
      <c r="M10" s="15"/>
      <c r="R10" s="14" t="str">
        <f t="shared" ca="1" si="0"/>
        <v>N/A</v>
      </c>
      <c r="S10" s="15"/>
      <c r="U10" s="15"/>
      <c r="W10" s="15"/>
      <c r="X10" s="15"/>
      <c r="Y10" s="15" t="s">
        <v>36</v>
      </c>
      <c r="Z10" s="13" t="s">
        <v>37</v>
      </c>
    </row>
    <row r="11" spans="1:27" s="14" customFormat="1" ht="15.75" customHeight="1">
      <c r="A11" s="13" t="s">
        <v>59</v>
      </c>
      <c r="B11" s="13" t="s">
        <v>31</v>
      </c>
      <c r="C11" s="13" t="s">
        <v>32</v>
      </c>
      <c r="E11" s="14" t="s">
        <v>33</v>
      </c>
      <c r="G11" s="15" t="s">
        <v>34</v>
      </c>
      <c r="I11" s="18">
        <v>46143</v>
      </c>
      <c r="J11" s="16" t="s">
        <v>35</v>
      </c>
      <c r="K11" s="20"/>
      <c r="L11" s="14">
        <f t="shared" ca="1" si="1"/>
        <v>3</v>
      </c>
      <c r="M11" s="15"/>
      <c r="R11" s="14" t="str">
        <f t="shared" ca="1" si="0"/>
        <v>N/A</v>
      </c>
      <c r="S11" s="15"/>
      <c r="U11" s="15"/>
      <c r="W11" s="15"/>
      <c r="X11" s="15"/>
      <c r="Y11" s="15" t="s">
        <v>36</v>
      </c>
      <c r="Z11" s="13" t="s">
        <v>37</v>
      </c>
    </row>
    <row r="12" spans="1:27" s="14" customFormat="1" ht="12.6">
      <c r="A12" s="13" t="s">
        <v>60</v>
      </c>
      <c r="B12" s="13" t="s">
        <v>61</v>
      </c>
      <c r="C12" s="13" t="s">
        <v>48</v>
      </c>
      <c r="E12" s="14" t="s">
        <v>40</v>
      </c>
      <c r="G12" s="15" t="s">
        <v>34</v>
      </c>
      <c r="I12" s="18">
        <v>46142</v>
      </c>
      <c r="J12" s="16" t="s">
        <v>43</v>
      </c>
      <c r="K12" s="20"/>
      <c r="L12" s="14">
        <f t="shared" ca="1" si="1"/>
        <v>4</v>
      </c>
      <c r="M12" s="15"/>
      <c r="R12" s="14" t="str">
        <f t="shared" ca="1" si="0"/>
        <v>N/A</v>
      </c>
      <c r="S12" s="15"/>
      <c r="U12" s="15"/>
      <c r="W12" s="15"/>
      <c r="X12" s="15"/>
      <c r="Y12" s="15" t="s">
        <v>36</v>
      </c>
      <c r="Z12" s="13" t="s">
        <v>62</v>
      </c>
    </row>
    <row r="13" spans="1:27" s="14" customFormat="1" ht="12.6">
      <c r="A13" s="13" t="s">
        <v>63</v>
      </c>
      <c r="B13" s="13" t="s">
        <v>54</v>
      </c>
      <c r="C13" s="13" t="s">
        <v>48</v>
      </c>
      <c r="E13" s="14" t="s">
        <v>40</v>
      </c>
      <c r="G13" s="15" t="s">
        <v>34</v>
      </c>
      <c r="I13" s="18">
        <v>46141</v>
      </c>
      <c r="J13" s="16" t="s">
        <v>45</v>
      </c>
      <c r="K13" s="20"/>
      <c r="L13" s="14">
        <f t="shared" ca="1" si="1"/>
        <v>5</v>
      </c>
      <c r="M13" s="15"/>
      <c r="R13" s="14" t="str">
        <f t="shared" ca="1" si="0"/>
        <v>N/A</v>
      </c>
      <c r="S13" s="15"/>
      <c r="U13" s="15"/>
      <c r="W13" s="15"/>
      <c r="X13" s="15"/>
      <c r="Y13" s="15" t="s">
        <v>36</v>
      </c>
      <c r="Z13" s="13" t="s">
        <v>62</v>
      </c>
    </row>
    <row r="14" spans="1:27" s="14" customFormat="1" ht="15.75" customHeight="1">
      <c r="A14" s="13" t="s">
        <v>64</v>
      </c>
      <c r="B14" s="13" t="s">
        <v>31</v>
      </c>
      <c r="C14" s="13" t="s">
        <v>48</v>
      </c>
      <c r="E14" s="14" t="s">
        <v>40</v>
      </c>
      <c r="G14" s="15" t="s">
        <v>34</v>
      </c>
      <c r="I14" s="18">
        <v>46141</v>
      </c>
      <c r="J14" s="16" t="s">
        <v>43</v>
      </c>
      <c r="K14" s="20"/>
      <c r="L14" s="14">
        <f t="shared" ca="1" si="1"/>
        <v>5</v>
      </c>
      <c r="M14" s="15"/>
      <c r="R14" s="14" t="str">
        <f t="shared" ca="1" si="0"/>
        <v>N/A</v>
      </c>
      <c r="S14" s="15"/>
      <c r="U14" s="15"/>
      <c r="W14" s="15"/>
      <c r="X14" s="15"/>
      <c r="Y14" s="15" t="s">
        <v>36</v>
      </c>
      <c r="Z14" s="13" t="s">
        <v>62</v>
      </c>
    </row>
    <row r="15" spans="1:27" s="14" customFormat="1" ht="15.75" customHeight="1">
      <c r="A15" s="13" t="s">
        <v>65</v>
      </c>
      <c r="B15" s="13" t="s">
        <v>54</v>
      </c>
      <c r="C15" s="13" t="s">
        <v>66</v>
      </c>
      <c r="E15" s="14" t="s">
        <v>33</v>
      </c>
      <c r="G15" s="15" t="s">
        <v>34</v>
      </c>
      <c r="I15" s="18">
        <v>46141</v>
      </c>
      <c r="J15" s="16" t="s">
        <v>67</v>
      </c>
      <c r="K15" s="20"/>
      <c r="L15" s="14">
        <f t="shared" ca="1" si="1"/>
        <v>5</v>
      </c>
      <c r="M15" s="15"/>
      <c r="R15" s="14" t="str">
        <f t="shared" ca="1" si="0"/>
        <v>N/A</v>
      </c>
      <c r="S15" s="15"/>
      <c r="U15" s="15"/>
      <c r="W15" s="15"/>
      <c r="X15" s="15"/>
      <c r="Y15" s="15" t="s">
        <v>36</v>
      </c>
      <c r="Z15" s="13" t="s">
        <v>68</v>
      </c>
    </row>
    <row r="16" spans="1:27" s="14" customFormat="1" ht="15.75" customHeight="1">
      <c r="A16" s="13" t="s">
        <v>69</v>
      </c>
      <c r="B16" s="13" t="s">
        <v>61</v>
      </c>
      <c r="C16" s="13" t="s">
        <v>66</v>
      </c>
      <c r="E16" s="14" t="s">
        <v>33</v>
      </c>
      <c r="G16" s="15" t="s">
        <v>34</v>
      </c>
      <c r="I16" s="18">
        <v>46140</v>
      </c>
      <c r="J16" s="16" t="s">
        <v>70</v>
      </c>
      <c r="K16" s="20"/>
      <c r="L16" s="14">
        <f t="shared" ca="1" si="1"/>
        <v>6</v>
      </c>
      <c r="M16" s="15"/>
      <c r="R16" s="14" t="str">
        <f t="shared" ca="1" si="0"/>
        <v>N/A</v>
      </c>
      <c r="S16" s="15"/>
      <c r="U16" s="15"/>
      <c r="W16" s="15"/>
      <c r="X16" s="15"/>
      <c r="Y16" s="15" t="s">
        <v>36</v>
      </c>
      <c r="Z16" s="13" t="s">
        <v>62</v>
      </c>
    </row>
    <row r="17" spans="1:26" s="14" customFormat="1" ht="12.6">
      <c r="A17" s="13" t="s">
        <v>71</v>
      </c>
      <c r="B17" s="13" t="s">
        <v>31</v>
      </c>
      <c r="C17" s="13" t="s">
        <v>32</v>
      </c>
      <c r="E17" s="14" t="s">
        <v>33</v>
      </c>
      <c r="G17" s="15" t="s">
        <v>34</v>
      </c>
      <c r="I17" s="18">
        <v>46139</v>
      </c>
      <c r="J17" s="16" t="s">
        <v>35</v>
      </c>
      <c r="K17" s="20" t="s">
        <v>34</v>
      </c>
      <c r="L17" s="14">
        <f t="shared" ca="1" si="1"/>
        <v>7</v>
      </c>
      <c r="M17" s="15"/>
      <c r="R17" s="14" t="str">
        <f t="shared" ca="1" si="0"/>
        <v>N/A</v>
      </c>
      <c r="S17" s="15"/>
      <c r="U17" s="15"/>
      <c r="W17" s="15"/>
      <c r="X17" s="15"/>
      <c r="Y17" s="15" t="s">
        <v>36</v>
      </c>
      <c r="Z17" s="13" t="s">
        <v>68</v>
      </c>
    </row>
    <row r="18" spans="1:26" s="14" customFormat="1" ht="15.75" customHeight="1">
      <c r="A18" s="13" t="s">
        <v>72</v>
      </c>
      <c r="B18" s="13" t="s">
        <v>31</v>
      </c>
      <c r="C18" s="13" t="s">
        <v>48</v>
      </c>
      <c r="E18" s="14" t="s">
        <v>40</v>
      </c>
      <c r="G18" s="15" t="s">
        <v>34</v>
      </c>
      <c r="I18" s="18">
        <v>46139</v>
      </c>
      <c r="J18" s="16" t="s">
        <v>73</v>
      </c>
      <c r="K18" s="20" t="s">
        <v>34</v>
      </c>
      <c r="L18" s="14">
        <f t="shared" ca="1" si="1"/>
        <v>8</v>
      </c>
      <c r="M18" s="18">
        <v>46147</v>
      </c>
      <c r="N18" s="16" t="s">
        <v>74</v>
      </c>
      <c r="O18" s="17" t="s">
        <v>58</v>
      </c>
      <c r="R18" s="14">
        <f t="shared" ca="1" si="0"/>
        <v>-1</v>
      </c>
      <c r="S18" s="15"/>
      <c r="U18" s="15"/>
      <c r="W18" s="15"/>
      <c r="X18" s="15"/>
      <c r="Y18" s="15" t="s">
        <v>36</v>
      </c>
      <c r="Z18" s="13" t="s">
        <v>68</v>
      </c>
    </row>
    <row r="19" spans="1:26" s="14" customFormat="1" ht="12.6">
      <c r="A19" s="13" t="s">
        <v>75</v>
      </c>
      <c r="B19" s="13" t="s">
        <v>31</v>
      </c>
      <c r="C19" s="13" t="s">
        <v>48</v>
      </c>
      <c r="E19" s="14" t="s">
        <v>40</v>
      </c>
      <c r="G19" s="15" t="s">
        <v>34</v>
      </c>
      <c r="I19" s="18">
        <v>46136</v>
      </c>
      <c r="J19" s="16" t="s">
        <v>55</v>
      </c>
      <c r="K19" s="20" t="s">
        <v>34</v>
      </c>
      <c r="L19" s="14">
        <f t="shared" ca="1" si="1"/>
        <v>10</v>
      </c>
      <c r="M19" s="18">
        <v>46146</v>
      </c>
      <c r="N19" s="16" t="s">
        <v>76</v>
      </c>
      <c r="O19" s="17" t="s">
        <v>77</v>
      </c>
      <c r="R19" s="14">
        <f t="shared" ca="1" si="0"/>
        <v>0</v>
      </c>
      <c r="S19" s="15"/>
      <c r="U19" s="15"/>
      <c r="W19" s="15"/>
      <c r="X19" s="15"/>
      <c r="Y19" s="15" t="s">
        <v>36</v>
      </c>
      <c r="Z19" s="13" t="s">
        <v>68</v>
      </c>
    </row>
    <row r="20" spans="1:26" s="14" customFormat="1" ht="12.6">
      <c r="A20" s="13" t="s">
        <v>78</v>
      </c>
      <c r="B20" s="13" t="s">
        <v>31</v>
      </c>
      <c r="C20" s="13" t="s">
        <v>66</v>
      </c>
      <c r="E20" s="14" t="s">
        <v>33</v>
      </c>
      <c r="G20" s="15" t="s">
        <v>34</v>
      </c>
      <c r="I20" s="18">
        <v>46136</v>
      </c>
      <c r="J20" s="16" t="s">
        <v>79</v>
      </c>
      <c r="K20" s="20"/>
      <c r="L20" s="14">
        <f t="shared" ca="1" si="1"/>
        <v>10</v>
      </c>
      <c r="M20" s="15"/>
      <c r="R20" s="14" t="str">
        <f t="shared" ca="1" si="0"/>
        <v>N/A</v>
      </c>
      <c r="S20" s="15"/>
      <c r="U20" s="15"/>
      <c r="W20" s="15"/>
      <c r="X20" s="15"/>
      <c r="Y20" s="15" t="s">
        <v>36</v>
      </c>
      <c r="Z20" s="13" t="s">
        <v>62</v>
      </c>
    </row>
    <row r="21" spans="1:26" s="14" customFormat="1" ht="15.75" customHeight="1">
      <c r="A21" s="13" t="s">
        <v>80</v>
      </c>
      <c r="B21" s="13" t="s">
        <v>31</v>
      </c>
      <c r="C21" s="13" t="s">
        <v>32</v>
      </c>
      <c r="E21" s="14" t="s">
        <v>33</v>
      </c>
      <c r="G21" s="15" t="s">
        <v>34</v>
      </c>
      <c r="I21" s="18">
        <v>46136</v>
      </c>
      <c r="J21" s="16" t="s">
        <v>81</v>
      </c>
      <c r="K21" s="20" t="s">
        <v>82</v>
      </c>
      <c r="L21" s="14" t="str">
        <f t="shared" ca="1" si="1"/>
        <v>N/A</v>
      </c>
      <c r="M21" s="15"/>
      <c r="R21" s="14" t="str">
        <f t="shared" ca="1" si="0"/>
        <v>N/A</v>
      </c>
      <c r="S21" s="15"/>
      <c r="U21" s="15"/>
      <c r="W21" s="15"/>
      <c r="X21" s="15"/>
      <c r="Y21" s="15" t="s">
        <v>36</v>
      </c>
      <c r="Z21" s="13" t="s">
        <v>68</v>
      </c>
    </row>
    <row r="22" spans="1:26" s="14" customFormat="1" ht="12.6">
      <c r="A22" s="13" t="s">
        <v>83</v>
      </c>
      <c r="B22" s="13" t="s">
        <v>84</v>
      </c>
      <c r="C22" s="13" t="s">
        <v>32</v>
      </c>
      <c r="E22" s="14" t="s">
        <v>33</v>
      </c>
      <c r="G22" s="15" t="s">
        <v>34</v>
      </c>
      <c r="I22" s="18">
        <v>46132</v>
      </c>
      <c r="J22" s="16" t="s">
        <v>85</v>
      </c>
      <c r="K22" s="20" t="s">
        <v>34</v>
      </c>
      <c r="L22" s="14">
        <f t="shared" ca="1" si="1"/>
        <v>14</v>
      </c>
      <c r="M22" s="15"/>
      <c r="R22" s="14" t="str">
        <f t="shared" ca="1" si="0"/>
        <v>N/A</v>
      </c>
      <c r="S22" s="15"/>
      <c r="U22" s="15"/>
      <c r="W22" s="15"/>
      <c r="X22" s="15"/>
      <c r="Y22" s="15" t="s">
        <v>36</v>
      </c>
      <c r="Z22" s="13" t="s">
        <v>68</v>
      </c>
    </row>
    <row r="23" spans="1:26" s="14" customFormat="1" ht="15.75" customHeight="1">
      <c r="A23" s="13" t="s">
        <v>86</v>
      </c>
      <c r="B23" s="13" t="s">
        <v>87</v>
      </c>
      <c r="C23" s="13" t="s">
        <v>32</v>
      </c>
      <c r="E23" s="14" t="s">
        <v>33</v>
      </c>
      <c r="G23" s="15" t="s">
        <v>34</v>
      </c>
      <c r="I23" s="18">
        <v>46129</v>
      </c>
      <c r="J23" s="16" t="s">
        <v>35</v>
      </c>
      <c r="K23" s="20" t="s">
        <v>34</v>
      </c>
      <c r="L23" s="14">
        <f t="shared" ca="1" si="1"/>
        <v>14</v>
      </c>
      <c r="M23" s="18">
        <v>46143</v>
      </c>
      <c r="N23" s="14" t="s">
        <v>88</v>
      </c>
      <c r="O23" s="17" t="s">
        <v>41</v>
      </c>
      <c r="R23" s="14">
        <f t="shared" ca="1" si="0"/>
        <v>3</v>
      </c>
      <c r="S23" s="15"/>
      <c r="U23" s="15"/>
      <c r="W23" s="15"/>
      <c r="X23" s="15"/>
      <c r="Y23" s="15" t="s">
        <v>36</v>
      </c>
      <c r="Z23" s="13" t="s">
        <v>68</v>
      </c>
    </row>
    <row r="24" spans="1:26" s="14" customFormat="1" ht="12.6">
      <c r="A24" s="13" t="s">
        <v>89</v>
      </c>
      <c r="B24" s="13" t="s">
        <v>84</v>
      </c>
      <c r="C24" s="13" t="s">
        <v>50</v>
      </c>
      <c r="E24" s="14" t="s">
        <v>51</v>
      </c>
      <c r="G24" s="15" t="s">
        <v>34</v>
      </c>
      <c r="I24" s="18">
        <v>46129</v>
      </c>
      <c r="J24" s="16" t="s">
        <v>73</v>
      </c>
      <c r="K24" s="20" t="s">
        <v>34</v>
      </c>
      <c r="L24" s="14">
        <f t="shared" ca="1" si="1"/>
        <v>17</v>
      </c>
      <c r="M24" s="15"/>
      <c r="N24" s="14" t="s">
        <v>90</v>
      </c>
      <c r="O24" s="14" t="s">
        <v>91</v>
      </c>
      <c r="R24" s="14" t="str">
        <f t="shared" ca="1" si="0"/>
        <v>N/A</v>
      </c>
      <c r="S24" s="15"/>
      <c r="U24" s="15"/>
      <c r="W24" s="15"/>
      <c r="X24" s="15"/>
      <c r="Y24" s="15" t="s">
        <v>36</v>
      </c>
      <c r="Z24" s="13" t="s">
        <v>68</v>
      </c>
    </row>
    <row r="25" spans="1:26" s="14" customFormat="1" ht="12.6">
      <c r="A25" s="13" t="s">
        <v>92</v>
      </c>
      <c r="B25" s="13" t="s">
        <v>61</v>
      </c>
      <c r="C25" s="13" t="s">
        <v>50</v>
      </c>
      <c r="E25" s="14" t="s">
        <v>51</v>
      </c>
      <c r="G25" s="15" t="s">
        <v>34</v>
      </c>
      <c r="I25" s="18">
        <v>46129</v>
      </c>
      <c r="J25" s="16"/>
      <c r="K25" s="20" t="s">
        <v>34</v>
      </c>
      <c r="L25" s="14">
        <f t="shared" ca="1" si="1"/>
        <v>17</v>
      </c>
      <c r="M25" s="15"/>
      <c r="R25" s="14" t="str">
        <f t="shared" ca="1" si="0"/>
        <v>N/A</v>
      </c>
      <c r="S25" s="15"/>
      <c r="U25" s="15"/>
      <c r="W25" s="15"/>
      <c r="X25" s="15"/>
      <c r="Y25" s="15" t="s">
        <v>93</v>
      </c>
      <c r="Z25" s="13" t="s">
        <v>94</v>
      </c>
    </row>
    <row r="26" spans="1:26" s="14" customFormat="1" ht="15.75" customHeight="1">
      <c r="A26" s="13" t="s">
        <v>95</v>
      </c>
      <c r="B26" s="13" t="s">
        <v>54</v>
      </c>
      <c r="C26" s="13" t="s">
        <v>32</v>
      </c>
      <c r="E26" s="14" t="s">
        <v>33</v>
      </c>
      <c r="G26" s="15" t="s">
        <v>34</v>
      </c>
      <c r="I26" s="18">
        <v>46119</v>
      </c>
      <c r="J26" s="16" t="s">
        <v>91</v>
      </c>
      <c r="K26" s="20" t="s">
        <v>34</v>
      </c>
      <c r="L26" s="14">
        <f t="shared" ca="1" si="1"/>
        <v>15</v>
      </c>
      <c r="M26" s="18">
        <v>46134</v>
      </c>
      <c r="N26" s="14" t="s">
        <v>81</v>
      </c>
      <c r="O26" s="14" t="s">
        <v>43</v>
      </c>
      <c r="R26" s="14">
        <f t="shared" ca="1" si="0"/>
        <v>14</v>
      </c>
      <c r="S26" s="18">
        <v>46148</v>
      </c>
      <c r="T26" s="14" t="s">
        <v>96</v>
      </c>
      <c r="U26" s="15"/>
      <c r="W26" s="15"/>
      <c r="X26" s="15"/>
      <c r="Y26" s="15" t="s">
        <v>36</v>
      </c>
      <c r="Z26" s="13" t="s">
        <v>97</v>
      </c>
    </row>
    <row r="27" spans="1:26" s="14" customFormat="1" ht="12.6">
      <c r="A27" s="13" t="s">
        <v>98</v>
      </c>
      <c r="B27" s="13" t="s">
        <v>99</v>
      </c>
      <c r="C27" s="13" t="s">
        <v>32</v>
      </c>
      <c r="E27" s="14" t="s">
        <v>33</v>
      </c>
      <c r="G27" s="15" t="s">
        <v>34</v>
      </c>
      <c r="I27" s="18">
        <v>46105</v>
      </c>
      <c r="J27" s="16" t="s">
        <v>100</v>
      </c>
      <c r="K27" s="20" t="s">
        <v>34</v>
      </c>
      <c r="L27" s="14">
        <f t="shared" ca="1" si="1"/>
        <v>3</v>
      </c>
      <c r="M27" s="18">
        <v>46108</v>
      </c>
      <c r="N27" s="14" t="s">
        <v>101</v>
      </c>
      <c r="Q27" s="14" t="s">
        <v>34</v>
      </c>
      <c r="R27" s="14">
        <f t="shared" ca="1" si="0"/>
        <v>8</v>
      </c>
      <c r="S27" s="18">
        <v>46116</v>
      </c>
      <c r="T27" s="14" t="s">
        <v>81</v>
      </c>
      <c r="U27" s="15" t="s">
        <v>34</v>
      </c>
      <c r="W27" s="24">
        <v>46133</v>
      </c>
      <c r="X27" s="24">
        <v>45823</v>
      </c>
      <c r="Y27" s="24" t="s">
        <v>5</v>
      </c>
      <c r="Z27" s="13" t="s">
        <v>102</v>
      </c>
    </row>
    <row r="28" spans="1:26" s="14" customFormat="1" ht="15.75" customHeight="1">
      <c r="A28" s="13" t="s">
        <v>103</v>
      </c>
      <c r="B28" s="13" t="s">
        <v>54</v>
      </c>
      <c r="C28" s="13" t="s">
        <v>50</v>
      </c>
      <c r="E28" s="14" t="s">
        <v>51</v>
      </c>
      <c r="G28" s="15" t="s">
        <v>34</v>
      </c>
      <c r="I28" s="15"/>
      <c r="J28" s="16"/>
      <c r="K28" s="20"/>
      <c r="L28" s="14" t="str">
        <f t="shared" ca="1" si="1"/>
        <v>N/A</v>
      </c>
      <c r="M28" s="15"/>
      <c r="R28" s="14" t="str">
        <f t="shared" ca="1" si="0"/>
        <v>N/A</v>
      </c>
      <c r="S28" s="15"/>
      <c r="U28" s="15"/>
      <c r="W28" s="15"/>
      <c r="X28" s="15"/>
      <c r="Y28" s="15" t="s">
        <v>36</v>
      </c>
      <c r="Z28" s="13" t="s">
        <v>104</v>
      </c>
    </row>
    <row r="29" spans="1:26" s="14" customFormat="1" ht="15.75" customHeight="1">
      <c r="A29" s="13" t="s">
        <v>105</v>
      </c>
      <c r="B29" s="13" t="s">
        <v>106</v>
      </c>
      <c r="C29" s="13" t="s">
        <v>50</v>
      </c>
      <c r="E29" s="14" t="s">
        <v>51</v>
      </c>
      <c r="G29" s="15" t="s">
        <v>34</v>
      </c>
      <c r="I29" s="15"/>
      <c r="J29" s="16"/>
      <c r="K29" s="20"/>
      <c r="L29" s="14" t="str">
        <f t="shared" ca="1" si="1"/>
        <v>N/A</v>
      </c>
      <c r="M29" s="15"/>
      <c r="R29" s="14" t="str">
        <f t="shared" ca="1" si="0"/>
        <v>N/A</v>
      </c>
      <c r="S29" s="15"/>
      <c r="U29" s="15"/>
      <c r="W29" s="15"/>
      <c r="X29" s="15"/>
      <c r="Y29" s="15" t="s">
        <v>36</v>
      </c>
      <c r="Z29" s="13" t="s">
        <v>107</v>
      </c>
    </row>
    <row r="30" spans="1:26" s="14" customFormat="1" ht="15.75" customHeight="1">
      <c r="A30" s="13" t="s">
        <v>108</v>
      </c>
      <c r="B30" s="13" t="s">
        <v>31</v>
      </c>
      <c r="C30" s="13" t="s">
        <v>50</v>
      </c>
      <c r="E30" s="14" t="s">
        <v>51</v>
      </c>
      <c r="G30" s="15" t="s">
        <v>34</v>
      </c>
      <c r="I30" s="15"/>
      <c r="J30" s="16"/>
      <c r="K30" s="20"/>
      <c r="L30" s="14" t="str">
        <f t="shared" ca="1" si="1"/>
        <v>N/A</v>
      </c>
      <c r="M30" s="15"/>
      <c r="R30" s="14" t="str">
        <f t="shared" ca="1" si="0"/>
        <v>N/A</v>
      </c>
      <c r="S30" s="15"/>
      <c r="U30" s="15"/>
      <c r="W30" s="15"/>
      <c r="X30" s="15"/>
      <c r="Y30" s="15" t="s">
        <v>36</v>
      </c>
      <c r="Z30" s="13" t="s">
        <v>109</v>
      </c>
    </row>
    <row r="31" spans="1:26" s="14" customFormat="1" ht="15.75" customHeight="1">
      <c r="A31" s="13" t="s">
        <v>110</v>
      </c>
      <c r="B31" s="13" t="s">
        <v>111</v>
      </c>
      <c r="C31" s="13" t="s">
        <v>32</v>
      </c>
      <c r="E31" s="14" t="s">
        <v>33</v>
      </c>
      <c r="G31" s="15" t="s">
        <v>34</v>
      </c>
      <c r="I31" s="15"/>
      <c r="J31" s="16"/>
      <c r="K31" s="20"/>
      <c r="L31" s="14" t="str">
        <f t="shared" ca="1" si="1"/>
        <v>N/A</v>
      </c>
      <c r="M31" s="15"/>
      <c r="R31" s="14" t="str">
        <f t="shared" ca="1" si="0"/>
        <v>N/A</v>
      </c>
      <c r="S31" s="15"/>
      <c r="U31" s="15"/>
      <c r="W31" s="15"/>
      <c r="X31" s="15"/>
      <c r="Y31" s="15" t="s">
        <v>36</v>
      </c>
      <c r="Z31" s="13" t="s">
        <v>104</v>
      </c>
    </row>
    <row r="32" spans="1:26" s="14" customFormat="1" ht="12.6">
      <c r="A32" s="13" t="s">
        <v>112</v>
      </c>
      <c r="B32" s="13" t="s">
        <v>61</v>
      </c>
      <c r="C32" s="13" t="s">
        <v>66</v>
      </c>
      <c r="E32" s="14" t="s">
        <v>33</v>
      </c>
      <c r="G32" s="15" t="s">
        <v>34</v>
      </c>
      <c r="I32" s="15"/>
      <c r="J32" s="16"/>
      <c r="K32" s="20"/>
      <c r="L32" s="14" t="str">
        <f t="shared" ca="1" si="1"/>
        <v>N/A</v>
      </c>
      <c r="M32" s="15"/>
      <c r="R32" s="14" t="str">
        <f t="shared" ca="1" si="0"/>
        <v>N/A</v>
      </c>
      <c r="S32" s="15"/>
      <c r="U32" s="15"/>
      <c r="W32" s="15"/>
      <c r="X32" s="15"/>
      <c r="Y32" s="15" t="s">
        <v>36</v>
      </c>
      <c r="Z32" s="13" t="s">
        <v>104</v>
      </c>
    </row>
    <row r="33" spans="1:26" s="14" customFormat="1" ht="15.75" customHeight="1">
      <c r="A33" s="13" t="s">
        <v>113</v>
      </c>
      <c r="B33" s="13" t="s">
        <v>31</v>
      </c>
      <c r="C33" s="13" t="s">
        <v>50</v>
      </c>
      <c r="E33" s="14" t="s">
        <v>51</v>
      </c>
      <c r="G33" s="15" t="s">
        <v>34</v>
      </c>
      <c r="I33" s="15"/>
      <c r="J33" s="16"/>
      <c r="K33" s="20"/>
      <c r="L33" s="14" t="str">
        <f t="shared" ca="1" si="1"/>
        <v>N/A</v>
      </c>
      <c r="M33" s="15"/>
      <c r="R33" s="14" t="str">
        <f t="shared" ca="1" si="0"/>
        <v>N/A</v>
      </c>
      <c r="S33" s="15"/>
      <c r="U33" s="15"/>
      <c r="W33" s="15"/>
      <c r="X33" s="15"/>
      <c r="Y33" s="15" t="s">
        <v>36</v>
      </c>
      <c r="Z33" s="13" t="s">
        <v>104</v>
      </c>
    </row>
    <row r="34" spans="1:26" s="14" customFormat="1" ht="12.6">
      <c r="A34" s="13" t="s">
        <v>114</v>
      </c>
      <c r="B34" s="13" t="s">
        <v>61</v>
      </c>
      <c r="C34" s="13" t="s">
        <v>50</v>
      </c>
      <c r="E34" s="14" t="s">
        <v>51</v>
      </c>
      <c r="G34" s="15" t="s">
        <v>34</v>
      </c>
      <c r="I34" s="15"/>
      <c r="J34" s="16"/>
      <c r="K34" s="20"/>
      <c r="L34" s="14" t="str">
        <f t="shared" ca="1" si="1"/>
        <v>N/A</v>
      </c>
      <c r="M34" s="15"/>
      <c r="R34" s="14" t="str">
        <f t="shared" ca="1" si="0"/>
        <v>N/A</v>
      </c>
      <c r="S34" s="15"/>
      <c r="U34" s="15"/>
      <c r="W34" s="15"/>
      <c r="X34" s="15"/>
      <c r="Y34" s="15" t="s">
        <v>36</v>
      </c>
      <c r="Z34" s="13" t="s">
        <v>109</v>
      </c>
    </row>
    <row r="35" spans="1:26" s="14" customFormat="1" ht="12.6">
      <c r="A35" s="13" t="s">
        <v>115</v>
      </c>
      <c r="B35" s="13" t="s">
        <v>84</v>
      </c>
      <c r="C35" s="13" t="s">
        <v>50</v>
      </c>
      <c r="E35" s="14" t="s">
        <v>51</v>
      </c>
      <c r="G35" s="15" t="s">
        <v>34</v>
      </c>
      <c r="I35" s="15"/>
      <c r="J35" s="16"/>
      <c r="K35" s="20"/>
      <c r="L35" s="14" t="str">
        <f t="shared" ca="1" si="1"/>
        <v>N/A</v>
      </c>
      <c r="M35" s="15"/>
      <c r="R35" s="14" t="str">
        <f t="shared" ca="1" si="0"/>
        <v>N/A</v>
      </c>
      <c r="S35" s="15"/>
      <c r="U35" s="15"/>
      <c r="W35" s="15"/>
      <c r="X35" s="15"/>
      <c r="Y35" s="15" t="s">
        <v>36</v>
      </c>
      <c r="Z35" s="13" t="s">
        <v>37</v>
      </c>
    </row>
    <row r="36" spans="1:26" s="14" customFormat="1" ht="15.75" customHeight="1">
      <c r="A36" s="13" t="s">
        <v>116</v>
      </c>
      <c r="B36" s="13" t="s">
        <v>54</v>
      </c>
      <c r="C36" s="13" t="s">
        <v>48</v>
      </c>
      <c r="E36" s="14" t="s">
        <v>40</v>
      </c>
      <c r="G36" s="15" t="s">
        <v>34</v>
      </c>
      <c r="I36" s="15"/>
      <c r="J36" s="16"/>
      <c r="K36" s="20"/>
      <c r="L36" s="14" t="str">
        <f t="shared" ca="1" si="1"/>
        <v>N/A</v>
      </c>
      <c r="M36" s="15"/>
      <c r="R36" s="14" t="str">
        <f t="shared" ca="1" si="0"/>
        <v>N/A</v>
      </c>
      <c r="S36" s="15"/>
      <c r="U36" s="15"/>
      <c r="W36" s="15"/>
      <c r="X36" s="15"/>
      <c r="Y36" s="15" t="s">
        <v>36</v>
      </c>
      <c r="Z36" s="13" t="s">
        <v>104</v>
      </c>
    </row>
    <row r="37" spans="1:26" s="14" customFormat="1" ht="15.75" customHeight="1">
      <c r="A37" s="13" t="s">
        <v>117</v>
      </c>
      <c r="B37" s="13" t="s">
        <v>31</v>
      </c>
      <c r="C37" s="13" t="s">
        <v>50</v>
      </c>
      <c r="E37" s="14" t="s">
        <v>51</v>
      </c>
      <c r="G37" s="15" t="s">
        <v>34</v>
      </c>
      <c r="I37" s="15"/>
      <c r="J37" s="16"/>
      <c r="K37" s="20"/>
      <c r="L37" s="14" t="str">
        <f t="shared" ca="1" si="1"/>
        <v>N/A</v>
      </c>
      <c r="M37" s="15"/>
      <c r="R37" s="14" t="str">
        <f t="shared" ca="1" si="0"/>
        <v>N/A</v>
      </c>
      <c r="S37" s="15"/>
      <c r="U37" s="15"/>
      <c r="W37" s="15"/>
      <c r="X37" s="15"/>
      <c r="Y37" s="15" t="s">
        <v>36</v>
      </c>
      <c r="Z37" s="13" t="s">
        <v>104</v>
      </c>
    </row>
    <row r="38" spans="1:26" s="14" customFormat="1" ht="15.75" customHeight="1">
      <c r="A38" s="13" t="s">
        <v>118</v>
      </c>
      <c r="B38" s="13" t="s">
        <v>87</v>
      </c>
      <c r="C38" s="13" t="s">
        <v>48</v>
      </c>
      <c r="E38" s="14" t="s">
        <v>40</v>
      </c>
      <c r="G38" s="15" t="s">
        <v>34</v>
      </c>
      <c r="I38" s="15"/>
      <c r="J38" s="16"/>
      <c r="K38" s="20"/>
      <c r="L38" s="14" t="str">
        <f t="shared" ca="1" si="1"/>
        <v>N/A</v>
      </c>
      <c r="M38" s="15"/>
      <c r="R38" s="14" t="str">
        <f t="shared" ca="1" si="0"/>
        <v>N/A</v>
      </c>
      <c r="S38" s="15"/>
      <c r="U38" s="15"/>
      <c r="W38" s="15"/>
      <c r="X38" s="15"/>
      <c r="Y38" s="15" t="s">
        <v>36</v>
      </c>
      <c r="Z38" s="13" t="s">
        <v>37</v>
      </c>
    </row>
    <row r="39" spans="1:26" s="14" customFormat="1" ht="15.75" customHeight="1">
      <c r="A39" s="13" t="s">
        <v>119</v>
      </c>
      <c r="B39" s="13" t="s">
        <v>54</v>
      </c>
      <c r="C39" s="13" t="s">
        <v>66</v>
      </c>
      <c r="E39" s="14" t="s">
        <v>51</v>
      </c>
      <c r="G39" s="15" t="s">
        <v>34</v>
      </c>
      <c r="I39" s="15"/>
      <c r="J39" s="16"/>
      <c r="K39" s="20"/>
      <c r="L39" s="14" t="str">
        <f t="shared" ca="1" si="1"/>
        <v>N/A</v>
      </c>
      <c r="M39" s="15"/>
      <c r="R39" s="14" t="str">
        <f t="shared" ca="1" si="0"/>
        <v>N/A</v>
      </c>
      <c r="S39" s="15"/>
      <c r="U39" s="15"/>
      <c r="W39" s="15"/>
      <c r="X39" s="15"/>
      <c r="Y39" s="15" t="s">
        <v>36</v>
      </c>
      <c r="Z39" s="13" t="s">
        <v>104</v>
      </c>
    </row>
    <row r="40" spans="1:26" s="14" customFormat="1" ht="15.75" customHeight="1">
      <c r="A40" s="13" t="s">
        <v>120</v>
      </c>
      <c r="B40" s="13" t="s">
        <v>31</v>
      </c>
      <c r="C40" s="13" t="s">
        <v>66</v>
      </c>
      <c r="E40" s="14" t="s">
        <v>51</v>
      </c>
      <c r="G40" s="15" t="s">
        <v>34</v>
      </c>
      <c r="I40" s="15"/>
      <c r="J40" s="16"/>
      <c r="K40" s="20"/>
      <c r="L40" s="14" t="str">
        <f t="shared" ca="1" si="1"/>
        <v>N/A</v>
      </c>
      <c r="M40" s="15"/>
      <c r="R40" s="14" t="str">
        <f t="shared" ca="1" si="0"/>
        <v>N/A</v>
      </c>
      <c r="S40" s="15"/>
      <c r="U40" s="15"/>
      <c r="W40" s="15"/>
      <c r="X40" s="15"/>
      <c r="Y40" s="15" t="s">
        <v>36</v>
      </c>
      <c r="Z40" s="13" t="s">
        <v>104</v>
      </c>
    </row>
    <row r="41" spans="1:26" s="14" customFormat="1" ht="15.75" customHeight="1">
      <c r="A41" s="13" t="s">
        <v>121</v>
      </c>
      <c r="B41" s="13" t="s">
        <v>31</v>
      </c>
      <c r="C41" s="13" t="s">
        <v>66</v>
      </c>
      <c r="E41" s="14" t="s">
        <v>51</v>
      </c>
      <c r="G41" s="15" t="s">
        <v>34</v>
      </c>
      <c r="I41" s="15"/>
      <c r="J41" s="16"/>
      <c r="K41" s="20"/>
      <c r="L41" s="14" t="str">
        <f t="shared" ca="1" si="1"/>
        <v>N/A</v>
      </c>
      <c r="M41" s="15"/>
      <c r="R41" s="14" t="str">
        <f t="shared" ca="1" si="0"/>
        <v>N/A</v>
      </c>
      <c r="S41" s="15"/>
      <c r="U41" s="15"/>
      <c r="W41" s="15"/>
      <c r="X41" s="15"/>
      <c r="Y41" s="15" t="s">
        <v>36</v>
      </c>
      <c r="Z41" s="13" t="s">
        <v>104</v>
      </c>
    </row>
    <row r="42" spans="1:26" s="14" customFormat="1" ht="12.6">
      <c r="A42" s="13" t="s">
        <v>122</v>
      </c>
      <c r="B42" s="13" t="s">
        <v>47</v>
      </c>
      <c r="C42" s="13" t="s">
        <v>50</v>
      </c>
      <c r="E42" s="14" t="s">
        <v>51</v>
      </c>
      <c r="G42" s="15" t="s">
        <v>34</v>
      </c>
      <c r="I42" s="15"/>
      <c r="J42" s="16"/>
      <c r="K42" s="20"/>
      <c r="L42" s="14" t="str">
        <f t="shared" ca="1" si="1"/>
        <v>N/A</v>
      </c>
      <c r="M42" s="15"/>
      <c r="R42" s="14" t="str">
        <f t="shared" ca="1" si="0"/>
        <v>N/A</v>
      </c>
      <c r="S42" s="15"/>
      <c r="U42" s="15"/>
      <c r="W42" s="15"/>
      <c r="X42" s="15"/>
      <c r="Y42" s="15" t="s">
        <v>36</v>
      </c>
      <c r="Z42" s="13" t="s">
        <v>37</v>
      </c>
    </row>
    <row r="43" spans="1:26" s="14" customFormat="1" ht="12.6">
      <c r="A43" s="13" t="s">
        <v>122</v>
      </c>
      <c r="B43" s="13" t="s">
        <v>47</v>
      </c>
      <c r="C43" s="13" t="s">
        <v>50</v>
      </c>
      <c r="E43" s="14" t="s">
        <v>51</v>
      </c>
      <c r="G43" s="15" t="s">
        <v>34</v>
      </c>
      <c r="I43" s="15"/>
      <c r="J43" s="16"/>
      <c r="K43" s="20"/>
      <c r="L43" s="14" t="str">
        <f t="shared" ca="1" si="1"/>
        <v>N/A</v>
      </c>
      <c r="M43" s="15"/>
      <c r="R43" s="14" t="str">
        <f t="shared" ca="1" si="0"/>
        <v>N/A</v>
      </c>
      <c r="S43" s="15"/>
      <c r="U43" s="15"/>
      <c r="W43" s="15"/>
      <c r="X43" s="15"/>
      <c r="Y43" s="15" t="s">
        <v>36</v>
      </c>
      <c r="Z43" s="13" t="s">
        <v>107</v>
      </c>
    </row>
    <row r="44" spans="1:26" s="14" customFormat="1" ht="12.6">
      <c r="A44" s="13" t="s">
        <v>123</v>
      </c>
      <c r="B44" s="13" t="s">
        <v>31</v>
      </c>
      <c r="C44" s="13" t="s">
        <v>39</v>
      </c>
      <c r="E44" s="14" t="s">
        <v>40</v>
      </c>
      <c r="G44" s="15" t="s">
        <v>34</v>
      </c>
      <c r="I44" s="15"/>
      <c r="J44" s="16"/>
      <c r="K44" s="20"/>
      <c r="L44" s="14" t="str">
        <f t="shared" ca="1" si="1"/>
        <v>N/A</v>
      </c>
      <c r="M44" s="15"/>
      <c r="R44" s="14" t="str">
        <f t="shared" ca="1" si="0"/>
        <v>N/A</v>
      </c>
      <c r="S44" s="15"/>
      <c r="U44" s="15"/>
      <c r="W44" s="15"/>
      <c r="X44" s="15"/>
      <c r="Y44" s="15" t="s">
        <v>36</v>
      </c>
      <c r="Z44" s="13" t="s">
        <v>37</v>
      </c>
    </row>
    <row r="45" spans="1:26" s="14" customFormat="1" ht="12.6">
      <c r="A45" s="13" t="s">
        <v>124</v>
      </c>
      <c r="B45" s="13" t="s">
        <v>106</v>
      </c>
      <c r="C45" s="13" t="s">
        <v>32</v>
      </c>
      <c r="E45" s="14" t="s">
        <v>33</v>
      </c>
      <c r="G45" s="15" t="s">
        <v>34</v>
      </c>
      <c r="I45" s="15"/>
      <c r="J45" s="16"/>
      <c r="K45" s="20"/>
      <c r="L45" s="14" t="str">
        <f t="shared" ca="1" si="1"/>
        <v>N/A</v>
      </c>
      <c r="M45" s="15"/>
      <c r="R45" s="14" t="str">
        <f t="shared" ca="1" si="0"/>
        <v>N/A</v>
      </c>
      <c r="S45" s="15"/>
      <c r="U45" s="15"/>
      <c r="W45" s="15"/>
      <c r="X45" s="15"/>
      <c r="Y45" s="15" t="s">
        <v>36</v>
      </c>
      <c r="Z45" s="13" t="s">
        <v>104</v>
      </c>
    </row>
    <row r="46" spans="1:26" s="14" customFormat="1" ht="15.75" customHeight="1">
      <c r="A46" s="13" t="s">
        <v>125</v>
      </c>
      <c r="B46" s="13" t="s">
        <v>87</v>
      </c>
      <c r="C46" s="13" t="s">
        <v>32</v>
      </c>
      <c r="E46" s="14" t="s">
        <v>33</v>
      </c>
      <c r="G46" s="15" t="s">
        <v>34</v>
      </c>
      <c r="I46" s="15"/>
      <c r="J46" s="16"/>
      <c r="K46" s="20"/>
      <c r="L46" s="14" t="str">
        <f t="shared" ca="1" si="1"/>
        <v>N/A</v>
      </c>
      <c r="M46" s="15"/>
      <c r="R46" s="14" t="str">
        <f t="shared" ca="1" si="0"/>
        <v>N/A</v>
      </c>
      <c r="S46" s="15"/>
      <c r="U46" s="15"/>
      <c r="W46" s="15"/>
      <c r="X46" s="15"/>
      <c r="Y46" s="15" t="s">
        <v>36</v>
      </c>
      <c r="Z46" s="13" t="s">
        <v>37</v>
      </c>
    </row>
    <row r="47" spans="1:26" s="14" customFormat="1" ht="15.75" customHeight="1">
      <c r="A47" s="13" t="s">
        <v>126</v>
      </c>
      <c r="B47" s="13" t="s">
        <v>31</v>
      </c>
      <c r="C47" s="13" t="s">
        <v>39</v>
      </c>
      <c r="E47" s="14" t="s">
        <v>40</v>
      </c>
      <c r="G47" s="15" t="s">
        <v>34</v>
      </c>
      <c r="I47" s="15"/>
      <c r="J47" s="16"/>
      <c r="K47" s="20"/>
      <c r="L47" s="14" t="str">
        <f t="shared" ca="1" si="1"/>
        <v>N/A</v>
      </c>
      <c r="M47" s="15"/>
      <c r="R47" s="14" t="str">
        <f t="shared" ca="1" si="0"/>
        <v>N/A</v>
      </c>
      <c r="S47" s="15"/>
      <c r="U47" s="15"/>
      <c r="W47" s="15"/>
      <c r="X47" s="15"/>
      <c r="Y47" s="15" t="s">
        <v>36</v>
      </c>
      <c r="Z47" s="13" t="s">
        <v>37</v>
      </c>
    </row>
    <row r="48" spans="1:26" s="14" customFormat="1" ht="12.6">
      <c r="A48" s="13" t="s">
        <v>127</v>
      </c>
      <c r="B48" s="13" t="s">
        <v>31</v>
      </c>
      <c r="C48" s="13" t="s">
        <v>66</v>
      </c>
      <c r="E48" s="14" t="s">
        <v>33</v>
      </c>
      <c r="G48" s="15" t="s">
        <v>34</v>
      </c>
      <c r="I48" s="15"/>
      <c r="J48" s="16"/>
      <c r="K48" s="20"/>
      <c r="L48" s="14" t="str">
        <f t="shared" ca="1" si="1"/>
        <v>N/A</v>
      </c>
      <c r="M48" s="15"/>
      <c r="R48" s="14" t="str">
        <f t="shared" ca="1" si="0"/>
        <v>N/A</v>
      </c>
      <c r="S48" s="15"/>
      <c r="U48" s="15"/>
      <c r="W48" s="15"/>
      <c r="X48" s="15"/>
      <c r="Y48" s="15" t="s">
        <v>36</v>
      </c>
      <c r="Z48" s="13" t="s">
        <v>107</v>
      </c>
    </row>
    <row r="49" spans="1:26" s="14" customFormat="1" ht="15.75" customHeight="1">
      <c r="A49" s="13" t="s">
        <v>128</v>
      </c>
      <c r="B49" s="13" t="s">
        <v>31</v>
      </c>
      <c r="C49" s="13" t="s">
        <v>39</v>
      </c>
      <c r="E49" s="14" t="s">
        <v>40</v>
      </c>
      <c r="G49" s="15" t="s">
        <v>34</v>
      </c>
      <c r="I49" s="15"/>
      <c r="J49" s="16"/>
      <c r="K49" s="20"/>
      <c r="L49" s="14" t="str">
        <f t="shared" ca="1" si="1"/>
        <v>N/A</v>
      </c>
      <c r="M49" s="15"/>
      <c r="R49" s="14" t="str">
        <f t="shared" ca="1" si="0"/>
        <v>N/A</v>
      </c>
      <c r="S49" s="15"/>
      <c r="U49" s="15"/>
      <c r="W49" s="15"/>
      <c r="X49" s="15"/>
      <c r="Y49" s="15" t="s">
        <v>36</v>
      </c>
      <c r="Z49" s="13" t="s">
        <v>104</v>
      </c>
    </row>
    <row r="50" spans="1:26" s="14" customFormat="1" ht="15.75" customHeight="1">
      <c r="A50" s="13" t="s">
        <v>129</v>
      </c>
      <c r="B50" s="13" t="s">
        <v>31</v>
      </c>
      <c r="C50" s="13" t="s">
        <v>66</v>
      </c>
      <c r="E50" s="14" t="s">
        <v>51</v>
      </c>
      <c r="G50" s="15" t="s">
        <v>34</v>
      </c>
      <c r="I50" s="15"/>
      <c r="J50" s="16"/>
      <c r="K50" s="20"/>
      <c r="L50" s="14" t="str">
        <f t="shared" ca="1" si="1"/>
        <v>N/A</v>
      </c>
      <c r="M50" s="15"/>
      <c r="R50" s="14" t="str">
        <f t="shared" ca="1" si="0"/>
        <v>N/A</v>
      </c>
      <c r="S50" s="15"/>
      <c r="U50" s="15"/>
      <c r="W50" s="15"/>
      <c r="X50" s="15"/>
      <c r="Y50" s="15" t="s">
        <v>36</v>
      </c>
      <c r="Z50" s="13" t="s">
        <v>104</v>
      </c>
    </row>
    <row r="51" spans="1:26" s="14" customFormat="1" ht="15.75" customHeight="1">
      <c r="A51" s="13" t="s">
        <v>130</v>
      </c>
      <c r="B51" s="13" t="s">
        <v>54</v>
      </c>
      <c r="C51" s="13" t="s">
        <v>39</v>
      </c>
      <c r="E51" s="14" t="s">
        <v>40</v>
      </c>
      <c r="G51" s="15" t="s">
        <v>34</v>
      </c>
      <c r="I51" s="15"/>
      <c r="J51" s="16"/>
      <c r="K51" s="20"/>
      <c r="L51" s="14" t="str">
        <f t="shared" ca="1" si="1"/>
        <v>N/A</v>
      </c>
      <c r="M51" s="15"/>
      <c r="R51" s="14" t="str">
        <f t="shared" ca="1" si="0"/>
        <v>N/A</v>
      </c>
      <c r="S51" s="15"/>
      <c r="U51" s="15"/>
      <c r="W51" s="15"/>
      <c r="X51" s="15"/>
      <c r="Y51" s="15" t="s">
        <v>36</v>
      </c>
      <c r="Z51" s="13" t="s">
        <v>109</v>
      </c>
    </row>
    <row r="52" spans="1:26" s="14" customFormat="1" ht="15.75" customHeight="1">
      <c r="A52" s="13" t="s">
        <v>131</v>
      </c>
      <c r="B52" s="13" t="s">
        <v>61</v>
      </c>
      <c r="C52" s="13" t="s">
        <v>66</v>
      </c>
      <c r="E52" s="14" t="s">
        <v>51</v>
      </c>
      <c r="G52" s="15" t="s">
        <v>34</v>
      </c>
      <c r="I52" s="15"/>
      <c r="J52" s="16"/>
      <c r="K52" s="20"/>
      <c r="L52" s="14" t="str">
        <f t="shared" ca="1" si="1"/>
        <v>N/A</v>
      </c>
      <c r="M52" s="15"/>
      <c r="R52" s="14" t="str">
        <f t="shared" ca="1" si="0"/>
        <v>N/A</v>
      </c>
      <c r="S52" s="15"/>
      <c r="U52" s="15"/>
      <c r="W52" s="15"/>
      <c r="X52" s="15"/>
      <c r="Y52" s="15" t="s">
        <v>36</v>
      </c>
      <c r="Z52" s="13" t="s">
        <v>104</v>
      </c>
    </row>
    <row r="53" spans="1:26" s="14" customFormat="1" ht="15.75" customHeight="1">
      <c r="A53" s="13" t="s">
        <v>132</v>
      </c>
      <c r="B53" s="13" t="s">
        <v>31</v>
      </c>
      <c r="C53" s="13" t="s">
        <v>32</v>
      </c>
      <c r="E53" s="14" t="s">
        <v>33</v>
      </c>
      <c r="G53" s="15" t="s">
        <v>34</v>
      </c>
      <c r="I53" s="15"/>
      <c r="J53" s="16"/>
      <c r="K53" s="20"/>
      <c r="L53" s="14" t="str">
        <f t="shared" ca="1" si="1"/>
        <v>N/A</v>
      </c>
      <c r="M53" s="15"/>
      <c r="R53" s="14" t="str">
        <f t="shared" ca="1" si="0"/>
        <v>N/A</v>
      </c>
      <c r="S53" s="15"/>
      <c r="U53" s="15"/>
      <c r="W53" s="15"/>
      <c r="X53" s="15"/>
      <c r="Y53" s="15" t="s">
        <v>36</v>
      </c>
      <c r="Z53" s="13" t="s">
        <v>107</v>
      </c>
    </row>
    <row r="54" spans="1:26" s="14" customFormat="1" ht="15.75" customHeight="1">
      <c r="A54" s="13" t="s">
        <v>133</v>
      </c>
      <c r="B54" s="13" t="s">
        <v>47</v>
      </c>
      <c r="C54" s="13" t="s">
        <v>48</v>
      </c>
      <c r="E54" s="14" t="s">
        <v>40</v>
      </c>
      <c r="G54" s="15" t="s">
        <v>34</v>
      </c>
      <c r="I54" s="15"/>
      <c r="J54" s="16"/>
      <c r="K54" s="20"/>
      <c r="L54" s="14" t="str">
        <f t="shared" ca="1" si="1"/>
        <v>N/A</v>
      </c>
      <c r="M54" s="15"/>
      <c r="R54" s="14" t="str">
        <f t="shared" ca="1" si="0"/>
        <v>N/A</v>
      </c>
      <c r="S54" s="15"/>
      <c r="U54" s="15"/>
      <c r="W54" s="15"/>
      <c r="X54" s="15"/>
      <c r="Y54" s="15" t="s">
        <v>36</v>
      </c>
      <c r="Z54" s="13" t="s">
        <v>104</v>
      </c>
    </row>
    <row r="55" spans="1:26" s="14" customFormat="1" ht="15.75" customHeight="1">
      <c r="A55" s="13" t="s">
        <v>134</v>
      </c>
      <c r="B55" s="13" t="s">
        <v>87</v>
      </c>
      <c r="C55" s="13" t="s">
        <v>66</v>
      </c>
      <c r="E55" s="14" t="s">
        <v>51</v>
      </c>
      <c r="G55" s="15" t="s">
        <v>34</v>
      </c>
      <c r="I55" s="15"/>
      <c r="J55" s="16"/>
      <c r="K55" s="20"/>
      <c r="L55" s="14" t="str">
        <f t="shared" ca="1" si="1"/>
        <v>N/A</v>
      </c>
      <c r="M55" s="15"/>
      <c r="R55" s="14" t="str">
        <f t="shared" ca="1" si="0"/>
        <v>N/A</v>
      </c>
      <c r="S55" s="15"/>
      <c r="U55" s="15"/>
      <c r="W55" s="15"/>
      <c r="X55" s="15"/>
      <c r="Y55" s="15" t="s">
        <v>36</v>
      </c>
      <c r="Z55" s="13" t="s">
        <v>107</v>
      </c>
    </row>
    <row r="56" spans="1:26" s="14" customFormat="1" ht="12.6">
      <c r="A56" s="13" t="s">
        <v>135</v>
      </c>
      <c r="B56" s="13" t="s">
        <v>31</v>
      </c>
      <c r="C56" s="13" t="s">
        <v>39</v>
      </c>
      <c r="E56" s="14" t="s">
        <v>40</v>
      </c>
      <c r="G56" s="15" t="s">
        <v>34</v>
      </c>
      <c r="I56" s="15"/>
      <c r="J56" s="16"/>
      <c r="K56" s="20"/>
      <c r="L56" s="14" t="str">
        <f t="shared" ca="1" si="1"/>
        <v>N/A</v>
      </c>
      <c r="M56" s="15"/>
      <c r="R56" s="14" t="str">
        <f t="shared" ca="1" si="0"/>
        <v>N/A</v>
      </c>
      <c r="S56" s="15"/>
      <c r="U56" s="15"/>
      <c r="W56" s="15"/>
      <c r="X56" s="15"/>
      <c r="Y56" s="15" t="s">
        <v>36</v>
      </c>
      <c r="Z56" s="13" t="s">
        <v>104</v>
      </c>
    </row>
    <row r="57" spans="1:26" s="14" customFormat="1" ht="15.75" customHeight="1">
      <c r="A57" s="13" t="s">
        <v>136</v>
      </c>
      <c r="B57" s="13" t="s">
        <v>31</v>
      </c>
      <c r="C57" s="13" t="s">
        <v>50</v>
      </c>
      <c r="E57" s="14" t="s">
        <v>51</v>
      </c>
      <c r="G57" s="15" t="s">
        <v>34</v>
      </c>
      <c r="I57" s="15"/>
      <c r="J57" s="16"/>
      <c r="K57" s="20"/>
      <c r="L57" s="14" t="str">
        <f t="shared" ca="1" si="1"/>
        <v>N/A</v>
      </c>
      <c r="M57" s="15"/>
      <c r="R57" s="14" t="str">
        <f t="shared" ca="1" si="0"/>
        <v>N/A</v>
      </c>
      <c r="S57" s="15"/>
      <c r="U57" s="15"/>
      <c r="W57" s="15"/>
      <c r="X57" s="15"/>
      <c r="Y57" s="15" t="s">
        <v>36</v>
      </c>
      <c r="Z57" s="13" t="s">
        <v>109</v>
      </c>
    </row>
    <row r="58" spans="1:26" s="14" customFormat="1" ht="15.75" customHeight="1">
      <c r="A58" s="13" t="s">
        <v>137</v>
      </c>
      <c r="B58" s="13" t="s">
        <v>138</v>
      </c>
      <c r="C58" s="13" t="s">
        <v>32</v>
      </c>
      <c r="E58" s="14" t="s">
        <v>33</v>
      </c>
      <c r="G58" s="15" t="s">
        <v>34</v>
      </c>
      <c r="I58" s="15"/>
      <c r="J58" s="16"/>
      <c r="K58" s="20"/>
      <c r="L58" s="14" t="str">
        <f t="shared" ca="1" si="1"/>
        <v>N/A</v>
      </c>
      <c r="M58" s="15"/>
      <c r="R58" s="14" t="str">
        <f t="shared" ca="1" si="0"/>
        <v>N/A</v>
      </c>
      <c r="S58" s="15"/>
      <c r="U58" s="15"/>
      <c r="W58" s="15"/>
      <c r="X58" s="15"/>
      <c r="Y58" s="15" t="s">
        <v>36</v>
      </c>
      <c r="Z58" s="13" t="s">
        <v>104</v>
      </c>
    </row>
    <row r="59" spans="1:26" s="14" customFormat="1" ht="12.6">
      <c r="A59" s="13" t="s">
        <v>139</v>
      </c>
      <c r="B59" s="13" t="s">
        <v>140</v>
      </c>
      <c r="C59" s="13" t="s">
        <v>39</v>
      </c>
      <c r="E59" s="14" t="s">
        <v>40</v>
      </c>
      <c r="G59" s="15" t="s">
        <v>34</v>
      </c>
      <c r="I59" s="15"/>
      <c r="J59" s="16"/>
      <c r="K59" s="20"/>
      <c r="L59" s="14" t="str">
        <f t="shared" ca="1" si="1"/>
        <v>N/A</v>
      </c>
      <c r="M59" s="15"/>
      <c r="R59" s="14" t="str">
        <f t="shared" ca="1" si="0"/>
        <v>N/A</v>
      </c>
      <c r="S59" s="15"/>
      <c r="U59" s="15"/>
      <c r="W59" s="15"/>
      <c r="X59" s="15"/>
      <c r="Y59" s="15" t="s">
        <v>36</v>
      </c>
      <c r="Z59" s="13" t="s">
        <v>104</v>
      </c>
    </row>
    <row r="60" spans="1:26" s="14" customFormat="1" ht="12.6">
      <c r="A60" s="13" t="s">
        <v>141</v>
      </c>
      <c r="B60" s="13" t="s">
        <v>54</v>
      </c>
      <c r="C60" s="13" t="s">
        <v>32</v>
      </c>
      <c r="E60" s="14" t="s">
        <v>33</v>
      </c>
      <c r="G60" s="15" t="s">
        <v>34</v>
      </c>
      <c r="I60" s="15"/>
      <c r="J60" s="16"/>
      <c r="K60" s="20"/>
      <c r="L60" s="14" t="str">
        <f t="shared" ca="1" si="1"/>
        <v>N/A</v>
      </c>
      <c r="M60" s="15"/>
      <c r="R60" s="14" t="str">
        <f t="shared" ca="1" si="0"/>
        <v>N/A</v>
      </c>
      <c r="S60" s="15"/>
      <c r="U60" s="15"/>
      <c r="W60" s="15"/>
      <c r="X60" s="15"/>
      <c r="Y60" s="15" t="s">
        <v>36</v>
      </c>
      <c r="Z60" s="13" t="s">
        <v>107</v>
      </c>
    </row>
    <row r="61" spans="1:26" s="14" customFormat="1" ht="15.75" customHeight="1">
      <c r="A61" s="13" t="s">
        <v>142</v>
      </c>
      <c r="B61" s="13" t="s">
        <v>31</v>
      </c>
      <c r="C61" s="13" t="s">
        <v>66</v>
      </c>
      <c r="E61" s="14" t="s">
        <v>51</v>
      </c>
      <c r="G61" s="15" t="s">
        <v>34</v>
      </c>
      <c r="I61" s="15"/>
      <c r="J61" s="16"/>
      <c r="K61" s="20"/>
      <c r="L61" s="14" t="str">
        <f t="shared" ca="1" si="1"/>
        <v>N/A</v>
      </c>
      <c r="M61" s="15"/>
      <c r="R61" s="14" t="str">
        <f t="shared" ca="1" si="0"/>
        <v>N/A</v>
      </c>
      <c r="S61" s="15"/>
      <c r="U61" s="15"/>
      <c r="W61" s="15"/>
      <c r="X61" s="15"/>
      <c r="Y61" s="15" t="s">
        <v>36</v>
      </c>
      <c r="Z61" s="13" t="s">
        <v>104</v>
      </c>
    </row>
    <row r="62" spans="1:26" s="14" customFormat="1" ht="12.6">
      <c r="A62" s="13" t="s">
        <v>143</v>
      </c>
      <c r="B62" s="13" t="s">
        <v>31</v>
      </c>
      <c r="C62" s="13" t="s">
        <v>66</v>
      </c>
      <c r="E62" s="14" t="s">
        <v>51</v>
      </c>
      <c r="G62" s="15" t="s">
        <v>34</v>
      </c>
      <c r="I62" s="15"/>
      <c r="J62" s="16"/>
      <c r="K62" s="20"/>
      <c r="L62" s="14" t="str">
        <f t="shared" ca="1" si="1"/>
        <v>N/A</v>
      </c>
      <c r="M62" s="15"/>
      <c r="R62" s="14" t="str">
        <f t="shared" ca="1" si="0"/>
        <v>N/A</v>
      </c>
      <c r="S62" s="15"/>
      <c r="U62" s="15"/>
      <c r="W62" s="15"/>
      <c r="X62" s="15"/>
      <c r="Y62" s="15" t="s">
        <v>36</v>
      </c>
      <c r="Z62" s="13" t="s">
        <v>109</v>
      </c>
    </row>
    <row r="63" spans="1:26" s="14" customFormat="1" ht="15.75" customHeight="1">
      <c r="A63" s="13" t="s">
        <v>144</v>
      </c>
      <c r="B63" s="13" t="s">
        <v>54</v>
      </c>
      <c r="C63" s="13" t="s">
        <v>66</v>
      </c>
      <c r="E63" s="14" t="s">
        <v>33</v>
      </c>
      <c r="G63" s="15" t="s">
        <v>34</v>
      </c>
      <c r="I63" s="15"/>
      <c r="J63" s="16"/>
      <c r="K63" s="20"/>
      <c r="L63" s="14" t="str">
        <f t="shared" ca="1" si="1"/>
        <v>N/A</v>
      </c>
      <c r="M63" s="15"/>
      <c r="R63" s="14" t="str">
        <f t="shared" ca="1" si="0"/>
        <v>N/A</v>
      </c>
      <c r="S63" s="15"/>
      <c r="U63" s="15"/>
      <c r="W63" s="15"/>
      <c r="X63" s="15"/>
      <c r="Y63" s="15" t="s">
        <v>36</v>
      </c>
      <c r="Z63" s="13" t="s">
        <v>104</v>
      </c>
    </row>
    <row r="64" spans="1:26" s="14" customFormat="1" ht="12.6">
      <c r="A64" s="13" t="s">
        <v>145</v>
      </c>
      <c r="B64" s="13" t="s">
        <v>31</v>
      </c>
      <c r="C64" s="13" t="s">
        <v>32</v>
      </c>
      <c r="E64" s="14" t="s">
        <v>33</v>
      </c>
      <c r="G64" s="15" t="s">
        <v>34</v>
      </c>
      <c r="I64" s="15"/>
      <c r="J64" s="16"/>
      <c r="K64" s="20"/>
      <c r="L64" s="14" t="str">
        <f t="shared" ca="1" si="1"/>
        <v>N/A</v>
      </c>
      <c r="M64" s="15"/>
      <c r="R64" s="14" t="str">
        <f t="shared" ca="1" si="0"/>
        <v>N/A</v>
      </c>
      <c r="S64" s="15"/>
      <c r="U64" s="15"/>
      <c r="W64" s="15"/>
      <c r="X64" s="15"/>
      <c r="Y64" s="15" t="s">
        <v>36</v>
      </c>
      <c r="Z64" s="13" t="s">
        <v>104</v>
      </c>
    </row>
    <row r="65" spans="1:26" s="14" customFormat="1" ht="12.6">
      <c r="A65" s="13" t="s">
        <v>146</v>
      </c>
      <c r="B65" s="13" t="s">
        <v>31</v>
      </c>
      <c r="C65" s="13" t="s">
        <v>66</v>
      </c>
      <c r="E65" s="14" t="s">
        <v>51</v>
      </c>
      <c r="G65" s="15" t="s">
        <v>34</v>
      </c>
      <c r="I65" s="15"/>
      <c r="J65" s="16"/>
      <c r="K65" s="20"/>
      <c r="L65" s="14" t="str">
        <f t="shared" ca="1" si="1"/>
        <v>N/A</v>
      </c>
      <c r="M65" s="15"/>
      <c r="R65" s="14" t="str">
        <f t="shared" ca="1" si="0"/>
        <v>N/A</v>
      </c>
      <c r="S65" s="15"/>
      <c r="U65" s="15"/>
      <c r="W65" s="15"/>
      <c r="X65" s="15"/>
      <c r="Y65" s="15" t="s">
        <v>36</v>
      </c>
      <c r="Z65" s="13" t="s">
        <v>107</v>
      </c>
    </row>
    <row r="66" spans="1:26" s="14" customFormat="1" ht="15.75" customHeight="1">
      <c r="A66" s="13" t="s">
        <v>147</v>
      </c>
      <c r="B66" s="13" t="s">
        <v>31</v>
      </c>
      <c r="C66" s="13" t="s">
        <v>39</v>
      </c>
      <c r="E66" s="14" t="s">
        <v>40</v>
      </c>
      <c r="G66" s="15" t="s">
        <v>34</v>
      </c>
      <c r="I66" s="15"/>
      <c r="J66" s="16"/>
      <c r="K66" s="20"/>
      <c r="L66" s="14" t="str">
        <f t="shared" ca="1" si="1"/>
        <v>N/A</v>
      </c>
      <c r="M66" s="15"/>
      <c r="R66" s="14" t="str">
        <f t="shared" ca="1" si="0"/>
        <v>N/A</v>
      </c>
      <c r="S66" s="15"/>
      <c r="U66" s="15"/>
      <c r="W66" s="15"/>
      <c r="X66" s="15"/>
      <c r="Y66" s="15" t="s">
        <v>36</v>
      </c>
      <c r="Z66" s="13" t="s">
        <v>104</v>
      </c>
    </row>
    <row r="67" spans="1:26" s="14" customFormat="1" ht="15.75" customHeight="1">
      <c r="A67" s="13" t="s">
        <v>148</v>
      </c>
      <c r="B67" s="13" t="s">
        <v>31</v>
      </c>
      <c r="C67" s="13" t="s">
        <v>39</v>
      </c>
      <c r="E67" s="14" t="s">
        <v>40</v>
      </c>
      <c r="G67" s="15" t="s">
        <v>34</v>
      </c>
      <c r="I67" s="15"/>
      <c r="J67" s="16"/>
      <c r="K67" s="20"/>
      <c r="L67" s="14" t="str">
        <f t="shared" ca="1" si="1"/>
        <v>N/A</v>
      </c>
      <c r="M67" s="15"/>
      <c r="R67" s="14" t="str">
        <f t="shared" ref="R67" ca="1" si="2">IF(OR(Q67="N",M67=""),"N/A",IF(S67="",TODAY()-M67,S67-M67))</f>
        <v>N/A</v>
      </c>
      <c r="S67" s="15"/>
      <c r="U67" s="15"/>
      <c r="W67" s="15"/>
      <c r="X67" s="15"/>
      <c r="Y67" s="15" t="s">
        <v>36</v>
      </c>
      <c r="Z67" s="13" t="s">
        <v>104</v>
      </c>
    </row>
    <row r="68" spans="1:26" s="14" customFormat="1" ht="15.75" customHeight="1">
      <c r="I68" s="15"/>
      <c r="J68" s="16"/>
      <c r="K68" s="20"/>
      <c r="M68" s="15"/>
      <c r="S68" s="15"/>
      <c r="U68" s="15"/>
      <c r="W68" s="15"/>
      <c r="X68" s="15"/>
      <c r="Y68" s="15"/>
    </row>
    <row r="69" spans="1:26" s="14" customFormat="1" ht="15.75" customHeight="1">
      <c r="I69" s="15"/>
      <c r="J69" s="16"/>
      <c r="K69" s="20"/>
      <c r="M69" s="15"/>
      <c r="S69" s="15"/>
      <c r="U69" s="15"/>
      <c r="W69" s="15"/>
      <c r="X69" s="15"/>
      <c r="Y69" s="15"/>
    </row>
    <row r="70" spans="1:26" s="14" customFormat="1" ht="15.75" customHeight="1">
      <c r="I70" s="15"/>
      <c r="J70" s="16"/>
      <c r="K70" s="20"/>
      <c r="M70" s="15"/>
      <c r="S70" s="15"/>
      <c r="U70" s="15"/>
      <c r="W70" s="15"/>
      <c r="X70" s="15"/>
      <c r="Y70" s="15"/>
    </row>
    <row r="71" spans="1:26" s="14" customFormat="1" ht="15.75" customHeight="1">
      <c r="I71" s="15"/>
      <c r="J71" s="16"/>
      <c r="K71" s="20"/>
      <c r="M71" s="15"/>
      <c r="S71" s="15"/>
      <c r="U71" s="15"/>
      <c r="W71" s="15"/>
      <c r="X71" s="15"/>
      <c r="Y71" s="15"/>
    </row>
  </sheetData>
  <autoFilter ref="A2:AA2" xr:uid="{6B72D91B-02D5-424D-A63E-BC6FA9A79439}">
    <sortState xmlns:xlrd2="http://schemas.microsoft.com/office/spreadsheetml/2017/richdata2" ref="A3:AA67">
      <sortCondition descending="1" ref="I2:I67"/>
    </sortState>
  </autoFilter>
  <mergeCells count="6">
    <mergeCell ref="V1:X1"/>
    <mergeCell ref="A1:D1"/>
    <mergeCell ref="F1:G1"/>
    <mergeCell ref="H1:K1"/>
    <mergeCell ref="L1:Q1"/>
    <mergeCell ref="R1:U1"/>
  </mergeCells>
  <conditionalFormatting sqref="L3:L67">
    <cfRule type="containsText" dxfId="5" priority="4" stopIfTrue="1" operator="containsText" text="N/A">
      <formula>NOT(ISERROR(SEARCH("N/A",L3)))</formula>
    </cfRule>
    <cfRule type="cellIs" dxfId="4" priority="5" operator="greaterThan">
      <formula>5</formula>
    </cfRule>
    <cfRule type="cellIs" dxfId="3" priority="7" stopIfTrue="1" operator="greaterThan">
      <formula>10</formula>
    </cfRule>
  </conditionalFormatting>
  <conditionalFormatting sqref="R3:R67">
    <cfRule type="containsText" dxfId="2" priority="1" stopIfTrue="1" operator="containsText" text="N/A">
      <formula>NOT(ISERROR(SEARCH("N/A",R3)))</formula>
    </cfRule>
    <cfRule type="cellIs" dxfId="1" priority="2" operator="greaterThan">
      <formula>5</formula>
    </cfRule>
    <cfRule type="cellIs" dxfId="0" priority="3" stopIfTrue="1" operator="greater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E371-945C-42E4-95DB-223033AE94C2}">
  <dimension ref="A1:E14"/>
  <sheetViews>
    <sheetView workbookViewId="0">
      <selection activeCell="C1" sqref="C1"/>
    </sheetView>
  </sheetViews>
  <sheetFormatPr defaultColWidth="11" defaultRowHeight="15.95"/>
  <cols>
    <col min="1" max="1" width="32.375" customWidth="1"/>
    <col min="2" max="2" width="35" customWidth="1"/>
    <col min="3" max="3" width="23.625" customWidth="1"/>
  </cols>
  <sheetData>
    <row r="1" spans="1:5" ht="23.25" customHeight="1">
      <c r="A1" s="25" t="s">
        <v>2</v>
      </c>
      <c r="B1" s="25" t="s">
        <v>3</v>
      </c>
      <c r="C1" s="25" t="s">
        <v>4</v>
      </c>
      <c r="D1" s="9"/>
      <c r="E1" s="31" t="s">
        <v>149</v>
      </c>
    </row>
    <row r="2" spans="1:5" s="29" customFormat="1" ht="24">
      <c r="A2" s="26" t="s">
        <v>150</v>
      </c>
      <c r="B2" s="26" t="s">
        <v>151</v>
      </c>
      <c r="C2" s="26" t="s">
        <v>152</v>
      </c>
      <c r="D2" s="30"/>
    </row>
    <row r="3" spans="1:5" ht="59.25" customHeight="1">
      <c r="A3" s="38" t="s">
        <v>153</v>
      </c>
      <c r="B3" s="27" t="s">
        <v>154</v>
      </c>
      <c r="C3" s="38" t="s">
        <v>155</v>
      </c>
    </row>
    <row r="4" spans="1:5" ht="103.5" customHeight="1">
      <c r="A4" s="38"/>
      <c r="B4" s="27" t="s">
        <v>156</v>
      </c>
      <c r="C4" s="38"/>
    </row>
    <row r="5" spans="1:5" ht="89.25" customHeight="1">
      <c r="A5" s="38"/>
      <c r="B5" s="27" t="s">
        <v>157</v>
      </c>
      <c r="C5" s="38"/>
    </row>
    <row r="6" spans="1:5" ht="34.5">
      <c r="A6" s="38"/>
      <c r="B6" s="27" t="s">
        <v>158</v>
      </c>
      <c r="C6" s="38"/>
    </row>
    <row r="7" spans="1:5" ht="69" customHeight="1">
      <c r="A7" s="38"/>
      <c r="B7" s="27" t="s">
        <v>159</v>
      </c>
      <c r="C7" s="38"/>
    </row>
    <row r="8" spans="1:5" ht="79.5" customHeight="1">
      <c r="A8" s="38"/>
      <c r="B8" s="27" t="s">
        <v>160</v>
      </c>
      <c r="C8" s="38"/>
    </row>
    <row r="9" spans="1:5" ht="34.5">
      <c r="A9" s="38"/>
      <c r="B9" s="27" t="s">
        <v>161</v>
      </c>
      <c r="C9" s="38"/>
    </row>
    <row r="10" spans="1:5" ht="54" customHeight="1">
      <c r="A10" s="38"/>
      <c r="B10" s="27" t="s">
        <v>162</v>
      </c>
      <c r="C10" s="38"/>
    </row>
    <row r="11" spans="1:5" ht="34.5">
      <c r="A11" s="38"/>
      <c r="B11" s="27" t="s">
        <v>163</v>
      </c>
      <c r="C11" s="38"/>
    </row>
    <row r="12" spans="1:5" ht="34.5">
      <c r="A12" s="38"/>
      <c r="B12" s="27" t="s">
        <v>164</v>
      </c>
      <c r="C12" s="38"/>
    </row>
    <row r="13" spans="1:5" ht="24">
      <c r="A13" s="38"/>
      <c r="B13" s="28" t="s">
        <v>165</v>
      </c>
      <c r="C13" s="38"/>
    </row>
    <row r="14" spans="1:5">
      <c r="B14" s="29"/>
    </row>
  </sheetData>
  <mergeCells count="2">
    <mergeCell ref="A3:A13"/>
    <mergeCell ref="C3:C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4E7FBC6435DD4DB481D82ABA481796" ma:contentTypeVersion="3" ma:contentTypeDescription="Create a new document." ma:contentTypeScope="" ma:versionID="d3a62fd44b76cde10c0567a5790abfb8">
  <xsd:schema xmlns:xsd="http://www.w3.org/2001/XMLSchema" xmlns:xs="http://www.w3.org/2001/XMLSchema" xmlns:p="http://schemas.microsoft.com/office/2006/metadata/properties" xmlns:ns2="73167651-2f91-4d5f-9be7-4a9acae14f25" targetNamespace="http://schemas.microsoft.com/office/2006/metadata/properties" ma:root="true" ma:fieldsID="8cda6fabc71f4594e55e568cde15d05e" ns2:_="">
    <xsd:import namespace="73167651-2f91-4d5f-9be7-4a9acae14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67651-2f91-4d5f-9be7-4a9acae14f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565950-DDF0-476E-937F-3A1A6745AEDC}"/>
</file>

<file path=customXml/itemProps2.xml><?xml version="1.0" encoding="utf-8"?>
<ds:datastoreItem xmlns:ds="http://schemas.openxmlformats.org/officeDocument/2006/customXml" ds:itemID="{29DAD401-84EF-4EB8-A324-5226B8B4408B}"/>
</file>

<file path=customXml/itemProps3.xml><?xml version="1.0" encoding="utf-8"?>
<ds:datastoreItem xmlns:ds="http://schemas.openxmlformats.org/officeDocument/2006/customXml" ds:itemID="{FC669CAF-4115-47EA-A067-5068CA9DA8D4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Muratovic, Faruk</dc:creator>
  <cp:keywords/>
  <dc:description/>
  <cp:lastModifiedBy>Muratovic, Faruk</cp:lastModifiedBy>
  <cp:revision/>
  <dcterms:created xsi:type="dcterms:W3CDTF">2026-04-30T00:31:40Z</dcterms:created>
  <dcterms:modified xsi:type="dcterms:W3CDTF">2026-05-04T19:32:04Z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0x010100B94E7FBC6435DD4DB481D82ABA481796</vt:lpwstr>
  </property>
</Properties>
</file>