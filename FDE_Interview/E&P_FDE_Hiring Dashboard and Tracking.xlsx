
<file path=[Content_Types].xml><?xml version="1.0" encoding="utf-8"?>
<Types xmlns="http://schemas.openxmlformats.org/package/2006/content-types">
  <Default Extension="jpg" ContentType="image/jp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omments1.xml" ContentType="application/vnd.openxmlformats-officedocument.spreadsheetml.comments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omments2.xml" ContentType="application/vnd.openxmlformats-officedocument.spreadsheetml.comments+xml"/>
  <Override PartName="/xl/threadedComments/threadedComment1.xml" ContentType="application/vnd.ms-excel.threadedcomments+xml"/>
  <Override PartName="/xl/documenttasks/documenttask1.xml" ContentType="application/vnd.ms-excel.documenttasks+xml"/>
  <Override PartName="/xl/drawings/drawing6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xl/webextensions/taskpanes.xml" ContentType="application/vnd.ms-office.webextensiontaskpanes+xml"/>
  <Override PartName="/xl/webextensions/webextension1.xml" ContentType="application/vnd.ms-office.webextensi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6" Type="http://schemas.microsoft.com/office/2011/relationships/webextensiontaskpanes" Target="xl/webextensions/taskpanes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3"/>
  <workbookPr/>
  <mc:AlternateContent xmlns:mc="http://schemas.openxmlformats.org/markup-compatibility/2006">
    <mc:Choice Requires="x15">
      <x15ac:absPath xmlns:x15ac="http://schemas.microsoft.com/office/spreadsheetml/2010/11/ac" url="https://amedeloitte.sharepoint.com/sites/ForwardDeployedModel-DesignTeam-FDEOrderBoard/Shared Documents/FDE Recruiting Management/FDE Interviews/"/>
    </mc:Choice>
  </mc:AlternateContent>
  <xr:revisionPtr revIDLastSave="823" documentId="8_{7A05FC29-CDA4-45DB-8819-4686D436EA6C}" xr6:coauthVersionLast="47" xr6:coauthVersionMax="47" xr10:uidLastSave="{03287D64-EBFE-4F96-9C79-B96CE7446EA5}"/>
  <bookViews>
    <workbookView xWindow="0" yWindow="660" windowWidth="29400" windowHeight="16760" tabRatio="500" activeTab="2" xr2:uid="{00000000-000D-0000-FFFF-FFFF00000000}"/>
  </bookViews>
  <sheets>
    <sheet name="Dashboard" sheetId="1" r:id="rId1"/>
    <sheet name="Pipeline by Platform" sheetId="2" r:id="rId2"/>
    <sheet name="Candidate Tracker" sheetId="3" r:id="rId3"/>
    <sheet name="FDE Interviewers" sheetId="7" r:id="rId4"/>
    <sheet name="Interviewer Capacity" sheetId="4" r:id="rId5"/>
    <sheet name="Lookups" sheetId="6" r:id="rId6"/>
  </sheets>
  <definedNames>
    <definedName name="_xlnm._FilterDatabase" localSheetId="2" hidden="1">'Candidate Tracker'!$B$7:$AC$256</definedName>
    <definedName name="_xlnm.Print_Area" localSheetId="0">Dashboard!$A$3:$N$30</definedName>
  </definedNames>
  <calcPr calcId="191028" iterateCount="1" calcOnSave="0" concurrentCalc="0" concurrentManualCount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J16" i="1" l="1"/>
  <c r="J15" i="1"/>
  <c r="J14" i="1"/>
  <c r="J5" i="1"/>
  <c r="C7" i="2"/>
  <c r="C8" i="2"/>
  <c r="C9" i="2"/>
  <c r="C10" i="2"/>
  <c r="C11" i="2"/>
  <c r="C12" i="2"/>
  <c r="C13" i="2"/>
  <c r="C14" i="2"/>
  <c r="C15" i="2"/>
  <c r="C16" i="2"/>
  <c r="D7" i="2"/>
  <c r="D8" i="2"/>
  <c r="D9" i="2"/>
  <c r="D10" i="2"/>
  <c r="D11" i="2"/>
  <c r="D12" i="2"/>
  <c r="D13" i="2"/>
  <c r="D14" i="2"/>
  <c r="D15" i="2"/>
  <c r="D16" i="2"/>
  <c r="E7" i="2"/>
  <c r="E8" i="2"/>
  <c r="E9" i="2"/>
  <c r="E10" i="2"/>
  <c r="E11" i="2"/>
  <c r="E12" i="2"/>
  <c r="E13" i="2"/>
  <c r="E14" i="2"/>
  <c r="E15" i="2"/>
  <c r="E16" i="2"/>
  <c r="F7" i="2"/>
  <c r="F8" i="2"/>
  <c r="F9" i="2"/>
  <c r="F10" i="2"/>
  <c r="F11" i="2"/>
  <c r="F12" i="2"/>
  <c r="F13" i="2"/>
  <c r="F14" i="2"/>
  <c r="F15" i="2"/>
  <c r="F16" i="2"/>
  <c r="G7" i="2"/>
  <c r="G8" i="2"/>
  <c r="G9" i="2"/>
  <c r="G10" i="2"/>
  <c r="G11" i="2"/>
  <c r="G12" i="2"/>
  <c r="G13" i="2"/>
  <c r="G14" i="2"/>
  <c r="G15" i="2"/>
  <c r="G16" i="2"/>
  <c r="H7" i="2"/>
  <c r="H8" i="2"/>
  <c r="H9" i="2"/>
  <c r="H10" i="2"/>
  <c r="H11" i="2"/>
  <c r="H12" i="2"/>
  <c r="H13" i="2"/>
  <c r="H14" i="2"/>
  <c r="H15" i="2"/>
  <c r="H16" i="2"/>
  <c r="I7" i="2"/>
  <c r="I8" i="2"/>
  <c r="I9" i="2"/>
  <c r="I10" i="2"/>
  <c r="I11" i="2"/>
  <c r="I12" i="2"/>
  <c r="I13" i="2"/>
  <c r="I14" i="2"/>
  <c r="I15" i="2"/>
  <c r="I16" i="2"/>
  <c r="J7" i="2"/>
  <c r="J8" i="2"/>
  <c r="J9" i="2"/>
  <c r="J10" i="2"/>
  <c r="J11" i="2"/>
  <c r="J12" i="2"/>
  <c r="J13" i="2"/>
  <c r="J14" i="2"/>
  <c r="J15" i="2"/>
  <c r="J16" i="2"/>
  <c r="K7" i="2"/>
  <c r="K8" i="2"/>
  <c r="K9" i="2"/>
  <c r="K10" i="2"/>
  <c r="K11" i="2"/>
  <c r="K12" i="2"/>
  <c r="K13" i="2"/>
  <c r="K14" i="2"/>
  <c r="K15" i="2"/>
  <c r="K16" i="2"/>
  <c r="M16" i="2"/>
  <c r="B9" i="1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H92" i="3"/>
  <c r="H93" i="3"/>
  <c r="H94" i="3"/>
  <c r="H95" i="3"/>
  <c r="H96" i="3"/>
  <c r="H97" i="3"/>
  <c r="H98" i="3"/>
  <c r="H99" i="3"/>
  <c r="H100" i="3"/>
  <c r="H101" i="3"/>
  <c r="H102" i="3"/>
  <c r="H103" i="3"/>
  <c r="H104" i="3"/>
  <c r="H105" i="3"/>
  <c r="H106" i="3"/>
  <c r="H107" i="3"/>
  <c r="H108" i="3"/>
  <c r="H109" i="3"/>
  <c r="H110" i="3"/>
  <c r="H111" i="3"/>
  <c r="H112" i="3"/>
  <c r="H113" i="3"/>
  <c r="H114" i="3"/>
  <c r="H115" i="3"/>
  <c r="H116" i="3"/>
  <c r="H117" i="3"/>
  <c r="H118" i="3"/>
  <c r="H119" i="3"/>
  <c r="H120" i="3"/>
  <c r="H121" i="3"/>
  <c r="H122" i="3"/>
  <c r="H123" i="3"/>
  <c r="H124" i="3"/>
  <c r="H125" i="3"/>
  <c r="H126" i="3"/>
  <c r="H127" i="3"/>
  <c r="H128" i="3"/>
  <c r="H129" i="3"/>
  <c r="H130" i="3"/>
  <c r="H131" i="3"/>
  <c r="H132" i="3"/>
  <c r="H133" i="3"/>
  <c r="H134" i="3"/>
  <c r="H135" i="3"/>
  <c r="H136" i="3"/>
  <c r="H137" i="3"/>
  <c r="H138" i="3"/>
  <c r="H139" i="3"/>
  <c r="H140" i="3"/>
  <c r="H141" i="3"/>
  <c r="H142" i="3"/>
  <c r="H143" i="3"/>
  <c r="H144" i="3"/>
  <c r="H145" i="3"/>
  <c r="H146" i="3"/>
  <c r="H147" i="3"/>
  <c r="H148" i="3"/>
  <c r="H149" i="3"/>
  <c r="H150" i="3"/>
  <c r="H151" i="3"/>
  <c r="H152" i="3"/>
  <c r="H153" i="3"/>
  <c r="H154" i="3"/>
  <c r="H155" i="3"/>
  <c r="H156" i="3"/>
  <c r="H157" i="3"/>
  <c r="H158" i="3"/>
  <c r="H159" i="3"/>
  <c r="H160" i="3"/>
  <c r="H161" i="3"/>
  <c r="H162" i="3"/>
  <c r="H163" i="3"/>
  <c r="H164" i="3"/>
  <c r="H165" i="3"/>
  <c r="H166" i="3"/>
  <c r="H167" i="3"/>
  <c r="H168" i="3"/>
  <c r="H169" i="3"/>
  <c r="H170" i="3"/>
  <c r="H171" i="3"/>
  <c r="H172" i="3"/>
  <c r="H173" i="3"/>
  <c r="H174" i="3"/>
  <c r="H175" i="3"/>
  <c r="H176" i="3"/>
  <c r="H177" i="3"/>
  <c r="H178" i="3"/>
  <c r="H179" i="3"/>
  <c r="H180" i="3"/>
  <c r="H181" i="3"/>
  <c r="H182" i="3"/>
  <c r="H183" i="3"/>
  <c r="H184" i="3"/>
  <c r="H185" i="3"/>
  <c r="H186" i="3"/>
  <c r="H187" i="3"/>
  <c r="H188" i="3"/>
  <c r="H189" i="3"/>
  <c r="H190" i="3"/>
  <c r="H191" i="3"/>
  <c r="H192" i="3"/>
  <c r="H193" i="3"/>
  <c r="H194" i="3"/>
  <c r="H195" i="3"/>
  <c r="H196" i="3"/>
  <c r="H197" i="3"/>
  <c r="H198" i="3"/>
  <c r="H199" i="3"/>
  <c r="H200" i="3"/>
  <c r="H201" i="3"/>
  <c r="H202" i="3"/>
  <c r="H203" i="3"/>
  <c r="H204" i="3"/>
  <c r="H205" i="3"/>
  <c r="H206" i="3"/>
  <c r="H207" i="3"/>
  <c r="H208" i="3"/>
  <c r="H209" i="3"/>
  <c r="H210" i="3"/>
  <c r="H211" i="3"/>
  <c r="H212" i="3"/>
  <c r="H213" i="3"/>
  <c r="H214" i="3"/>
  <c r="H215" i="3"/>
  <c r="H216" i="3"/>
  <c r="H217" i="3"/>
  <c r="H218" i="3"/>
  <c r="H219" i="3"/>
  <c r="H220" i="3"/>
  <c r="H221" i="3"/>
  <c r="H222" i="3"/>
  <c r="H223" i="3"/>
  <c r="H224" i="3"/>
  <c r="H225" i="3"/>
  <c r="H226" i="3"/>
  <c r="H227" i="3"/>
  <c r="H228" i="3"/>
  <c r="H229" i="3"/>
  <c r="H230" i="3"/>
  <c r="H231" i="3"/>
  <c r="H232" i="3"/>
  <c r="H233" i="3"/>
  <c r="H234" i="3"/>
  <c r="H235" i="3"/>
  <c r="H236" i="3"/>
  <c r="H237" i="3"/>
  <c r="H238" i="3"/>
  <c r="H239" i="3"/>
  <c r="H240" i="3"/>
  <c r="H241" i="3"/>
  <c r="H242" i="3"/>
  <c r="H243" i="3"/>
  <c r="H244" i="3"/>
  <c r="H245" i="3"/>
  <c r="H246" i="3"/>
  <c r="H247" i="3"/>
  <c r="H248" i="3"/>
  <c r="H249" i="3"/>
  <c r="H250" i="3"/>
  <c r="H251" i="3"/>
  <c r="H252" i="3"/>
  <c r="H253" i="3"/>
  <c r="H254" i="3"/>
  <c r="H255" i="3"/>
  <c r="H256" i="3"/>
  <c r="E34" i="1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38" i="3"/>
  <c r="K39" i="3"/>
  <c r="K40" i="3"/>
  <c r="K41" i="3"/>
  <c r="K42" i="3"/>
  <c r="K43" i="3"/>
  <c r="K44" i="3"/>
  <c r="K45" i="3"/>
  <c r="K46" i="3"/>
  <c r="K47" i="3"/>
  <c r="K48" i="3"/>
  <c r="K49" i="3"/>
  <c r="K50" i="3"/>
  <c r="K51" i="3"/>
  <c r="K52" i="3"/>
  <c r="K53" i="3"/>
  <c r="K54" i="3"/>
  <c r="K55" i="3"/>
  <c r="K56" i="3"/>
  <c r="K57" i="3"/>
  <c r="K58" i="3"/>
  <c r="K59" i="3"/>
  <c r="K60" i="3"/>
  <c r="K61" i="3"/>
  <c r="K62" i="3"/>
  <c r="K63" i="3"/>
  <c r="K64" i="3"/>
  <c r="K65" i="3"/>
  <c r="K66" i="3"/>
  <c r="K67" i="3"/>
  <c r="K68" i="3"/>
  <c r="K69" i="3"/>
  <c r="K70" i="3"/>
  <c r="K71" i="3"/>
  <c r="K72" i="3"/>
  <c r="K73" i="3"/>
  <c r="K74" i="3"/>
  <c r="K75" i="3"/>
  <c r="K76" i="3"/>
  <c r="K77" i="3"/>
  <c r="K78" i="3"/>
  <c r="K79" i="3"/>
  <c r="K80" i="3"/>
  <c r="K81" i="3"/>
  <c r="K82" i="3"/>
  <c r="K83" i="3"/>
  <c r="K84" i="3"/>
  <c r="K85" i="3"/>
  <c r="K86" i="3"/>
  <c r="K87" i="3"/>
  <c r="K88" i="3"/>
  <c r="K89" i="3"/>
  <c r="K90" i="3"/>
  <c r="K91" i="3"/>
  <c r="K92" i="3"/>
  <c r="K93" i="3"/>
  <c r="K94" i="3"/>
  <c r="K95" i="3"/>
  <c r="K96" i="3"/>
  <c r="K97" i="3"/>
  <c r="K98" i="3"/>
  <c r="K99" i="3"/>
  <c r="K100" i="3"/>
  <c r="K101" i="3"/>
  <c r="K102" i="3"/>
  <c r="K103" i="3"/>
  <c r="K104" i="3"/>
  <c r="K105" i="3"/>
  <c r="K106" i="3"/>
  <c r="K107" i="3"/>
  <c r="K108" i="3"/>
  <c r="K109" i="3"/>
  <c r="K110" i="3"/>
  <c r="K111" i="3"/>
  <c r="K112" i="3"/>
  <c r="K113" i="3"/>
  <c r="K114" i="3"/>
  <c r="K115" i="3"/>
  <c r="K116" i="3"/>
  <c r="K117" i="3"/>
  <c r="K118" i="3"/>
  <c r="K119" i="3"/>
  <c r="K120" i="3"/>
  <c r="K121" i="3"/>
  <c r="K122" i="3"/>
  <c r="K123" i="3"/>
  <c r="K124" i="3"/>
  <c r="K125" i="3"/>
  <c r="K126" i="3"/>
  <c r="K127" i="3"/>
  <c r="K128" i="3"/>
  <c r="K129" i="3"/>
  <c r="K130" i="3"/>
  <c r="K131" i="3"/>
  <c r="K132" i="3"/>
  <c r="K133" i="3"/>
  <c r="K134" i="3"/>
  <c r="K135" i="3"/>
  <c r="K136" i="3"/>
  <c r="K137" i="3"/>
  <c r="K138" i="3"/>
  <c r="K139" i="3"/>
  <c r="K140" i="3"/>
  <c r="K141" i="3"/>
  <c r="K142" i="3"/>
  <c r="K143" i="3"/>
  <c r="K144" i="3"/>
  <c r="K145" i="3"/>
  <c r="K146" i="3"/>
  <c r="K147" i="3"/>
  <c r="K148" i="3"/>
  <c r="K149" i="3"/>
  <c r="K150" i="3"/>
  <c r="K151" i="3"/>
  <c r="K152" i="3"/>
  <c r="K153" i="3"/>
  <c r="K154" i="3"/>
  <c r="K155" i="3"/>
  <c r="K156" i="3"/>
  <c r="K157" i="3"/>
  <c r="K158" i="3"/>
  <c r="K159" i="3"/>
  <c r="K160" i="3"/>
  <c r="K161" i="3"/>
  <c r="K162" i="3"/>
  <c r="K163" i="3"/>
  <c r="K164" i="3"/>
  <c r="K165" i="3"/>
  <c r="K166" i="3"/>
  <c r="K167" i="3"/>
  <c r="K168" i="3"/>
  <c r="K169" i="3"/>
  <c r="K170" i="3"/>
  <c r="K171" i="3"/>
  <c r="K172" i="3"/>
  <c r="K173" i="3"/>
  <c r="K174" i="3"/>
  <c r="K175" i="3"/>
  <c r="K176" i="3"/>
  <c r="K177" i="3"/>
  <c r="K178" i="3"/>
  <c r="K179" i="3"/>
  <c r="K180" i="3"/>
  <c r="K181" i="3"/>
  <c r="K182" i="3"/>
  <c r="K183" i="3"/>
  <c r="K184" i="3"/>
  <c r="K185" i="3"/>
  <c r="K186" i="3"/>
  <c r="K187" i="3"/>
  <c r="K188" i="3"/>
  <c r="K189" i="3"/>
  <c r="K190" i="3"/>
  <c r="K191" i="3"/>
  <c r="K192" i="3"/>
  <c r="K193" i="3"/>
  <c r="K194" i="3"/>
  <c r="K195" i="3"/>
  <c r="K196" i="3"/>
  <c r="K197" i="3"/>
  <c r="K198" i="3"/>
  <c r="K199" i="3"/>
  <c r="K200" i="3"/>
  <c r="K201" i="3"/>
  <c r="K202" i="3"/>
  <c r="K203" i="3"/>
  <c r="K204" i="3"/>
  <c r="K205" i="3"/>
  <c r="K206" i="3"/>
  <c r="K207" i="3"/>
  <c r="K208" i="3"/>
  <c r="K209" i="3"/>
  <c r="K210" i="3"/>
  <c r="K211" i="3"/>
  <c r="K212" i="3"/>
  <c r="K213" i="3"/>
  <c r="K214" i="3"/>
  <c r="K215" i="3"/>
  <c r="K216" i="3"/>
  <c r="K217" i="3"/>
  <c r="K218" i="3"/>
  <c r="K219" i="3"/>
  <c r="K220" i="3"/>
  <c r="K221" i="3"/>
  <c r="K222" i="3"/>
  <c r="K223" i="3"/>
  <c r="K224" i="3"/>
  <c r="K225" i="3"/>
  <c r="K226" i="3"/>
  <c r="K227" i="3"/>
  <c r="K228" i="3"/>
  <c r="K229" i="3"/>
  <c r="K230" i="3"/>
  <c r="K231" i="3"/>
  <c r="K232" i="3"/>
  <c r="K233" i="3"/>
  <c r="K234" i="3"/>
  <c r="K235" i="3"/>
  <c r="K236" i="3"/>
  <c r="K237" i="3"/>
  <c r="K238" i="3"/>
  <c r="K239" i="3"/>
  <c r="K240" i="3"/>
  <c r="K241" i="3"/>
  <c r="K242" i="3"/>
  <c r="K243" i="3"/>
  <c r="K244" i="3"/>
  <c r="K245" i="3"/>
  <c r="K246" i="3"/>
  <c r="K247" i="3"/>
  <c r="K248" i="3"/>
  <c r="K249" i="3"/>
  <c r="K250" i="3"/>
  <c r="K251" i="3"/>
  <c r="K252" i="3"/>
  <c r="K253" i="3"/>
  <c r="K254" i="3"/>
  <c r="K255" i="3"/>
  <c r="K256" i="3"/>
  <c r="E35" i="1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32" i="3"/>
  <c r="O33" i="3"/>
  <c r="O34" i="3"/>
  <c r="O35" i="3"/>
  <c r="O36" i="3"/>
  <c r="O37" i="3"/>
  <c r="O38" i="3"/>
  <c r="O39" i="3"/>
  <c r="O40" i="3"/>
  <c r="O41" i="3"/>
  <c r="O42" i="3"/>
  <c r="O43" i="3"/>
  <c r="O44" i="3"/>
  <c r="O45" i="3"/>
  <c r="O46" i="3"/>
  <c r="O47" i="3"/>
  <c r="O48" i="3"/>
  <c r="O49" i="3"/>
  <c r="O50" i="3"/>
  <c r="O51" i="3"/>
  <c r="O52" i="3"/>
  <c r="O53" i="3"/>
  <c r="O54" i="3"/>
  <c r="O55" i="3"/>
  <c r="O56" i="3"/>
  <c r="O57" i="3"/>
  <c r="O58" i="3"/>
  <c r="O59" i="3"/>
  <c r="O60" i="3"/>
  <c r="O61" i="3"/>
  <c r="O62" i="3"/>
  <c r="O63" i="3"/>
  <c r="O64" i="3"/>
  <c r="O65" i="3"/>
  <c r="O66" i="3"/>
  <c r="O67" i="3"/>
  <c r="O68" i="3"/>
  <c r="O69" i="3"/>
  <c r="O70" i="3"/>
  <c r="O71" i="3"/>
  <c r="O72" i="3"/>
  <c r="O73" i="3"/>
  <c r="O74" i="3"/>
  <c r="O75" i="3"/>
  <c r="O76" i="3"/>
  <c r="O77" i="3"/>
  <c r="O78" i="3"/>
  <c r="O79" i="3"/>
  <c r="O80" i="3"/>
  <c r="O81" i="3"/>
  <c r="O82" i="3"/>
  <c r="O83" i="3"/>
  <c r="O84" i="3"/>
  <c r="O85" i="3"/>
  <c r="O86" i="3"/>
  <c r="O87" i="3"/>
  <c r="O88" i="3"/>
  <c r="O89" i="3"/>
  <c r="O90" i="3"/>
  <c r="O91" i="3"/>
  <c r="O92" i="3"/>
  <c r="O93" i="3"/>
  <c r="O94" i="3"/>
  <c r="O95" i="3"/>
  <c r="O96" i="3"/>
  <c r="O97" i="3"/>
  <c r="O98" i="3"/>
  <c r="O99" i="3"/>
  <c r="O100" i="3"/>
  <c r="O101" i="3"/>
  <c r="O102" i="3"/>
  <c r="O103" i="3"/>
  <c r="O104" i="3"/>
  <c r="O105" i="3"/>
  <c r="O106" i="3"/>
  <c r="O107" i="3"/>
  <c r="O108" i="3"/>
  <c r="O109" i="3"/>
  <c r="O110" i="3"/>
  <c r="O111" i="3"/>
  <c r="O112" i="3"/>
  <c r="O113" i="3"/>
  <c r="O114" i="3"/>
  <c r="O115" i="3"/>
  <c r="O116" i="3"/>
  <c r="O117" i="3"/>
  <c r="O118" i="3"/>
  <c r="O119" i="3"/>
  <c r="O120" i="3"/>
  <c r="O121" i="3"/>
  <c r="O122" i="3"/>
  <c r="O123" i="3"/>
  <c r="O124" i="3"/>
  <c r="O125" i="3"/>
  <c r="O126" i="3"/>
  <c r="O127" i="3"/>
  <c r="O128" i="3"/>
  <c r="O129" i="3"/>
  <c r="O130" i="3"/>
  <c r="O131" i="3"/>
  <c r="O132" i="3"/>
  <c r="O133" i="3"/>
  <c r="O134" i="3"/>
  <c r="O135" i="3"/>
  <c r="O136" i="3"/>
  <c r="O137" i="3"/>
  <c r="O138" i="3"/>
  <c r="O139" i="3"/>
  <c r="O140" i="3"/>
  <c r="O141" i="3"/>
  <c r="O142" i="3"/>
  <c r="O143" i="3"/>
  <c r="O144" i="3"/>
  <c r="O145" i="3"/>
  <c r="O146" i="3"/>
  <c r="O147" i="3"/>
  <c r="O148" i="3"/>
  <c r="O149" i="3"/>
  <c r="O150" i="3"/>
  <c r="O151" i="3"/>
  <c r="O152" i="3"/>
  <c r="O153" i="3"/>
  <c r="O154" i="3"/>
  <c r="O155" i="3"/>
  <c r="O156" i="3"/>
  <c r="O157" i="3"/>
  <c r="O158" i="3"/>
  <c r="O159" i="3"/>
  <c r="O160" i="3"/>
  <c r="O161" i="3"/>
  <c r="O162" i="3"/>
  <c r="O163" i="3"/>
  <c r="O164" i="3"/>
  <c r="O165" i="3"/>
  <c r="O166" i="3"/>
  <c r="O167" i="3"/>
  <c r="O168" i="3"/>
  <c r="O169" i="3"/>
  <c r="O170" i="3"/>
  <c r="O171" i="3"/>
  <c r="O172" i="3"/>
  <c r="O173" i="3"/>
  <c r="O174" i="3"/>
  <c r="O175" i="3"/>
  <c r="O176" i="3"/>
  <c r="O177" i="3"/>
  <c r="O178" i="3"/>
  <c r="O179" i="3"/>
  <c r="O180" i="3"/>
  <c r="O181" i="3"/>
  <c r="O182" i="3"/>
  <c r="O183" i="3"/>
  <c r="O184" i="3"/>
  <c r="O185" i="3"/>
  <c r="O186" i="3"/>
  <c r="O187" i="3"/>
  <c r="O188" i="3"/>
  <c r="O189" i="3"/>
  <c r="O190" i="3"/>
  <c r="O191" i="3"/>
  <c r="O192" i="3"/>
  <c r="O193" i="3"/>
  <c r="O194" i="3"/>
  <c r="O195" i="3"/>
  <c r="O196" i="3"/>
  <c r="O197" i="3"/>
  <c r="O198" i="3"/>
  <c r="O199" i="3"/>
  <c r="O200" i="3"/>
  <c r="O201" i="3"/>
  <c r="O202" i="3"/>
  <c r="O203" i="3"/>
  <c r="O204" i="3"/>
  <c r="O205" i="3"/>
  <c r="O206" i="3"/>
  <c r="O207" i="3"/>
  <c r="O208" i="3"/>
  <c r="O209" i="3"/>
  <c r="O210" i="3"/>
  <c r="O211" i="3"/>
  <c r="O212" i="3"/>
  <c r="O213" i="3"/>
  <c r="O214" i="3"/>
  <c r="O215" i="3"/>
  <c r="O216" i="3"/>
  <c r="O217" i="3"/>
  <c r="O218" i="3"/>
  <c r="O219" i="3"/>
  <c r="O220" i="3"/>
  <c r="O221" i="3"/>
  <c r="O222" i="3"/>
  <c r="O223" i="3"/>
  <c r="O224" i="3"/>
  <c r="O225" i="3"/>
  <c r="O226" i="3"/>
  <c r="O227" i="3"/>
  <c r="O228" i="3"/>
  <c r="O229" i="3"/>
  <c r="O230" i="3"/>
  <c r="O231" i="3"/>
  <c r="O232" i="3"/>
  <c r="O233" i="3"/>
  <c r="O234" i="3"/>
  <c r="O235" i="3"/>
  <c r="O236" i="3"/>
  <c r="O237" i="3"/>
  <c r="O238" i="3"/>
  <c r="O239" i="3"/>
  <c r="O240" i="3"/>
  <c r="O241" i="3"/>
  <c r="O242" i="3"/>
  <c r="O243" i="3"/>
  <c r="O244" i="3"/>
  <c r="O245" i="3"/>
  <c r="O246" i="3"/>
  <c r="O247" i="3"/>
  <c r="O248" i="3"/>
  <c r="O249" i="3"/>
  <c r="O250" i="3"/>
  <c r="O251" i="3"/>
  <c r="O252" i="3"/>
  <c r="O253" i="3"/>
  <c r="O254" i="3"/>
  <c r="O255" i="3"/>
  <c r="O256" i="3"/>
  <c r="E36" i="1"/>
  <c r="U8" i="3"/>
  <c r="U9" i="3"/>
  <c r="U10" i="3"/>
  <c r="U11" i="3"/>
  <c r="U12" i="3"/>
  <c r="U13" i="3"/>
  <c r="U14" i="3"/>
  <c r="U15" i="3"/>
  <c r="U16" i="3"/>
  <c r="U17" i="3"/>
  <c r="U18" i="3"/>
  <c r="U19" i="3"/>
  <c r="U20" i="3"/>
  <c r="U21" i="3"/>
  <c r="U22" i="3"/>
  <c r="U23" i="3"/>
  <c r="U24" i="3"/>
  <c r="U25" i="3"/>
  <c r="U26" i="3"/>
  <c r="U27" i="3"/>
  <c r="U28" i="3"/>
  <c r="U29" i="3"/>
  <c r="U30" i="3"/>
  <c r="U31" i="3"/>
  <c r="U32" i="3"/>
  <c r="U33" i="3"/>
  <c r="U34" i="3"/>
  <c r="U35" i="3"/>
  <c r="U36" i="3"/>
  <c r="U37" i="3"/>
  <c r="U38" i="3"/>
  <c r="U39" i="3"/>
  <c r="U40" i="3"/>
  <c r="U41" i="3"/>
  <c r="U42" i="3"/>
  <c r="U43" i="3"/>
  <c r="U44" i="3"/>
  <c r="U45" i="3"/>
  <c r="U46" i="3"/>
  <c r="U47" i="3"/>
  <c r="U48" i="3"/>
  <c r="U49" i="3"/>
  <c r="U50" i="3"/>
  <c r="U51" i="3"/>
  <c r="U52" i="3"/>
  <c r="U53" i="3"/>
  <c r="U54" i="3"/>
  <c r="U55" i="3"/>
  <c r="U56" i="3"/>
  <c r="U57" i="3"/>
  <c r="U58" i="3"/>
  <c r="U59" i="3"/>
  <c r="U60" i="3"/>
  <c r="U61" i="3"/>
  <c r="U62" i="3"/>
  <c r="U63" i="3"/>
  <c r="U64" i="3"/>
  <c r="U65" i="3"/>
  <c r="U66" i="3"/>
  <c r="U67" i="3"/>
  <c r="U68" i="3"/>
  <c r="U69" i="3"/>
  <c r="U70" i="3"/>
  <c r="U71" i="3"/>
  <c r="U72" i="3"/>
  <c r="U73" i="3"/>
  <c r="U74" i="3"/>
  <c r="U75" i="3"/>
  <c r="U76" i="3"/>
  <c r="U77" i="3"/>
  <c r="U78" i="3"/>
  <c r="U79" i="3"/>
  <c r="U80" i="3"/>
  <c r="U81" i="3"/>
  <c r="U82" i="3"/>
  <c r="U83" i="3"/>
  <c r="U84" i="3"/>
  <c r="U85" i="3"/>
  <c r="U86" i="3"/>
  <c r="U87" i="3"/>
  <c r="U88" i="3"/>
  <c r="U89" i="3"/>
  <c r="U90" i="3"/>
  <c r="U91" i="3"/>
  <c r="U92" i="3"/>
  <c r="U93" i="3"/>
  <c r="U94" i="3"/>
  <c r="U95" i="3"/>
  <c r="U96" i="3"/>
  <c r="U97" i="3"/>
  <c r="U98" i="3"/>
  <c r="U99" i="3"/>
  <c r="U100" i="3"/>
  <c r="U101" i="3"/>
  <c r="U102" i="3"/>
  <c r="U103" i="3"/>
  <c r="U104" i="3"/>
  <c r="U105" i="3"/>
  <c r="U106" i="3"/>
  <c r="U107" i="3"/>
  <c r="U108" i="3"/>
  <c r="U109" i="3"/>
  <c r="U110" i="3"/>
  <c r="U111" i="3"/>
  <c r="U112" i="3"/>
  <c r="U113" i="3"/>
  <c r="U114" i="3"/>
  <c r="U115" i="3"/>
  <c r="U116" i="3"/>
  <c r="U117" i="3"/>
  <c r="U118" i="3"/>
  <c r="U119" i="3"/>
  <c r="U120" i="3"/>
  <c r="U121" i="3"/>
  <c r="U122" i="3"/>
  <c r="U123" i="3"/>
  <c r="U124" i="3"/>
  <c r="U125" i="3"/>
  <c r="U126" i="3"/>
  <c r="U127" i="3"/>
  <c r="U128" i="3"/>
  <c r="U129" i="3"/>
  <c r="U130" i="3"/>
  <c r="U131" i="3"/>
  <c r="U132" i="3"/>
  <c r="U133" i="3"/>
  <c r="U134" i="3"/>
  <c r="U135" i="3"/>
  <c r="U136" i="3"/>
  <c r="U137" i="3"/>
  <c r="U138" i="3"/>
  <c r="U139" i="3"/>
  <c r="U140" i="3"/>
  <c r="U141" i="3"/>
  <c r="U142" i="3"/>
  <c r="U143" i="3"/>
  <c r="U144" i="3"/>
  <c r="U145" i="3"/>
  <c r="U146" i="3"/>
  <c r="U147" i="3"/>
  <c r="U148" i="3"/>
  <c r="U149" i="3"/>
  <c r="U150" i="3"/>
  <c r="U151" i="3"/>
  <c r="U152" i="3"/>
  <c r="U153" i="3"/>
  <c r="U154" i="3"/>
  <c r="U155" i="3"/>
  <c r="U156" i="3"/>
  <c r="U157" i="3"/>
  <c r="U158" i="3"/>
  <c r="U159" i="3"/>
  <c r="U160" i="3"/>
  <c r="U161" i="3"/>
  <c r="U162" i="3"/>
  <c r="U163" i="3"/>
  <c r="U164" i="3"/>
  <c r="U165" i="3"/>
  <c r="U166" i="3"/>
  <c r="U167" i="3"/>
  <c r="U168" i="3"/>
  <c r="U169" i="3"/>
  <c r="U170" i="3"/>
  <c r="U171" i="3"/>
  <c r="U172" i="3"/>
  <c r="U173" i="3"/>
  <c r="U174" i="3"/>
  <c r="U175" i="3"/>
  <c r="U176" i="3"/>
  <c r="U177" i="3"/>
  <c r="U178" i="3"/>
  <c r="U179" i="3"/>
  <c r="U180" i="3"/>
  <c r="U181" i="3"/>
  <c r="U182" i="3"/>
  <c r="U183" i="3"/>
  <c r="U184" i="3"/>
  <c r="U185" i="3"/>
  <c r="U186" i="3"/>
  <c r="U187" i="3"/>
  <c r="U188" i="3"/>
  <c r="U189" i="3"/>
  <c r="U190" i="3"/>
  <c r="U191" i="3"/>
  <c r="U192" i="3"/>
  <c r="U193" i="3"/>
  <c r="U194" i="3"/>
  <c r="U195" i="3"/>
  <c r="U196" i="3"/>
  <c r="U197" i="3"/>
  <c r="U198" i="3"/>
  <c r="U199" i="3"/>
  <c r="U200" i="3"/>
  <c r="U201" i="3"/>
  <c r="U202" i="3"/>
  <c r="U203" i="3"/>
  <c r="U204" i="3"/>
  <c r="U205" i="3"/>
  <c r="U206" i="3"/>
  <c r="U207" i="3"/>
  <c r="U208" i="3"/>
  <c r="U209" i="3"/>
  <c r="U210" i="3"/>
  <c r="U211" i="3"/>
  <c r="U212" i="3"/>
  <c r="U213" i="3"/>
  <c r="U214" i="3"/>
  <c r="U215" i="3"/>
  <c r="U216" i="3"/>
  <c r="U217" i="3"/>
  <c r="U218" i="3"/>
  <c r="U219" i="3"/>
  <c r="U220" i="3"/>
  <c r="U221" i="3"/>
  <c r="U222" i="3"/>
  <c r="U223" i="3"/>
  <c r="U224" i="3"/>
  <c r="U225" i="3"/>
  <c r="U226" i="3"/>
  <c r="U227" i="3"/>
  <c r="U228" i="3"/>
  <c r="U229" i="3"/>
  <c r="U230" i="3"/>
  <c r="U231" i="3"/>
  <c r="U232" i="3"/>
  <c r="U233" i="3"/>
  <c r="U234" i="3"/>
  <c r="U235" i="3"/>
  <c r="U236" i="3"/>
  <c r="U237" i="3"/>
  <c r="U238" i="3"/>
  <c r="U239" i="3"/>
  <c r="U240" i="3"/>
  <c r="U241" i="3"/>
  <c r="U242" i="3"/>
  <c r="U243" i="3"/>
  <c r="U244" i="3"/>
  <c r="U245" i="3"/>
  <c r="U246" i="3"/>
  <c r="U247" i="3"/>
  <c r="U248" i="3"/>
  <c r="U249" i="3"/>
  <c r="U250" i="3"/>
  <c r="U251" i="3"/>
  <c r="U252" i="3"/>
  <c r="U253" i="3"/>
  <c r="U254" i="3"/>
  <c r="U255" i="3"/>
  <c r="U256" i="3"/>
  <c r="E37" i="1"/>
  <c r="C38" i="1"/>
  <c r="C37" i="1"/>
  <c r="G37" i="1"/>
  <c r="F37" i="1"/>
  <c r="D37" i="1"/>
  <c r="C36" i="1"/>
  <c r="G36" i="1"/>
  <c r="F36" i="1"/>
  <c r="D36" i="1"/>
  <c r="C35" i="1"/>
  <c r="G35" i="1"/>
  <c r="F35" i="1"/>
  <c r="D35" i="1"/>
  <c r="C34" i="1"/>
  <c r="G34" i="1"/>
  <c r="F34" i="1"/>
  <c r="D34" i="1"/>
  <c r="K8" i="1"/>
  <c r="J13" i="1"/>
  <c r="E8" i="1"/>
  <c r="F19" i="1"/>
  <c r="F17" i="1"/>
  <c r="F16" i="1"/>
  <c r="F15" i="1"/>
  <c r="F14" i="1"/>
  <c r="E14" i="1"/>
  <c r="E17" i="1"/>
  <c r="E16" i="1"/>
  <c r="E15" i="1"/>
  <c r="E11" i="4"/>
  <c r="K15" i="1"/>
  <c r="L15" i="1"/>
  <c r="M15" i="1"/>
  <c r="G14" i="1"/>
  <c r="G19" i="1"/>
  <c r="F18" i="1"/>
  <c r="G18" i="1"/>
  <c r="G17" i="1"/>
  <c r="G16" i="1"/>
  <c r="G15" i="1"/>
  <c r="G13" i="1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151" i="3"/>
  <c r="B152" i="3"/>
  <c r="B153" i="3"/>
  <c r="B154" i="3"/>
  <c r="B155" i="3"/>
  <c r="B156" i="3"/>
  <c r="B157" i="3"/>
  <c r="B158" i="3"/>
  <c r="B159" i="3"/>
  <c r="B160" i="3"/>
  <c r="B161" i="3"/>
  <c r="B162" i="3"/>
  <c r="B163" i="3"/>
  <c r="B164" i="3"/>
  <c r="B165" i="3"/>
  <c r="B166" i="3"/>
  <c r="B167" i="3"/>
  <c r="B168" i="3"/>
  <c r="B169" i="3"/>
  <c r="B170" i="3"/>
  <c r="B171" i="3"/>
  <c r="B172" i="3"/>
  <c r="B173" i="3"/>
  <c r="B174" i="3"/>
  <c r="B175" i="3"/>
  <c r="B176" i="3"/>
  <c r="B177" i="3"/>
  <c r="B178" i="3"/>
  <c r="B179" i="3"/>
  <c r="B180" i="3"/>
  <c r="B181" i="3"/>
  <c r="B182" i="3"/>
  <c r="B183" i="3"/>
  <c r="B184" i="3"/>
  <c r="B185" i="3"/>
  <c r="B186" i="3"/>
  <c r="B187" i="3"/>
  <c r="B188" i="3"/>
  <c r="B189" i="3"/>
  <c r="B190" i="3"/>
  <c r="B191" i="3"/>
  <c r="B192" i="3"/>
  <c r="B193" i="3"/>
  <c r="B194" i="3"/>
  <c r="B195" i="3"/>
  <c r="B196" i="3"/>
  <c r="B197" i="3"/>
  <c r="B198" i="3"/>
  <c r="B199" i="3"/>
  <c r="B200" i="3"/>
  <c r="B201" i="3"/>
  <c r="B202" i="3"/>
  <c r="B203" i="3"/>
  <c r="B204" i="3"/>
  <c r="B205" i="3"/>
  <c r="B206" i="3"/>
  <c r="B207" i="3"/>
  <c r="B208" i="3"/>
  <c r="B209" i="3"/>
  <c r="B210" i="3"/>
  <c r="B211" i="3"/>
  <c r="B212" i="3"/>
  <c r="B213" i="3"/>
  <c r="B214" i="3"/>
  <c r="B215" i="3"/>
  <c r="B216" i="3"/>
  <c r="B217" i="3"/>
  <c r="B218" i="3"/>
  <c r="B219" i="3"/>
  <c r="B220" i="3"/>
  <c r="B221" i="3"/>
  <c r="B222" i="3"/>
  <c r="B223" i="3"/>
  <c r="B224" i="3"/>
  <c r="B225" i="3"/>
  <c r="B226" i="3"/>
  <c r="B227" i="3"/>
  <c r="B228" i="3"/>
  <c r="B229" i="3"/>
  <c r="B230" i="3"/>
  <c r="B231" i="3"/>
  <c r="B232" i="3"/>
  <c r="B233" i="3"/>
  <c r="B234" i="3"/>
  <c r="B235" i="3"/>
  <c r="B236" i="3"/>
  <c r="B237" i="3"/>
  <c r="B238" i="3"/>
  <c r="B239" i="3"/>
  <c r="B240" i="3"/>
  <c r="B241" i="3"/>
  <c r="B242" i="3"/>
  <c r="B243" i="3"/>
  <c r="B244" i="3"/>
  <c r="B245" i="3"/>
  <c r="B246" i="3"/>
  <c r="B247" i="3"/>
  <c r="B248" i="3"/>
  <c r="B249" i="3"/>
  <c r="B250" i="3"/>
  <c r="B251" i="3"/>
  <c r="B252" i="3"/>
  <c r="B253" i="3"/>
  <c r="B254" i="3"/>
  <c r="B255" i="3"/>
  <c r="B256" i="3"/>
  <c r="B8" i="3"/>
  <c r="D31" i="4"/>
  <c r="E31" i="4"/>
  <c r="F31" i="4"/>
  <c r="D30" i="4"/>
  <c r="E30" i="4"/>
  <c r="F30" i="4"/>
  <c r="D29" i="4"/>
  <c r="E29" i="4"/>
  <c r="F29" i="4"/>
  <c r="D28" i="4"/>
  <c r="E28" i="4"/>
  <c r="F28" i="4"/>
  <c r="D27" i="4"/>
  <c r="E27" i="4"/>
  <c r="F27" i="4"/>
  <c r="D26" i="4"/>
  <c r="E26" i="4"/>
  <c r="F26" i="4"/>
  <c r="D25" i="4"/>
  <c r="E25" i="4"/>
  <c r="F25" i="4"/>
  <c r="D24" i="4"/>
  <c r="E24" i="4"/>
  <c r="F24" i="4"/>
  <c r="D23" i="4"/>
  <c r="E23" i="4"/>
  <c r="F23" i="4"/>
  <c r="D22" i="4"/>
  <c r="E22" i="4"/>
  <c r="F22" i="4"/>
  <c r="D21" i="4"/>
  <c r="E21" i="4"/>
  <c r="F21" i="4"/>
  <c r="D20" i="4"/>
  <c r="E20" i="4"/>
  <c r="F20" i="4"/>
  <c r="D19" i="4"/>
  <c r="E19" i="4"/>
  <c r="F19" i="4"/>
  <c r="D18" i="4"/>
  <c r="E18" i="4"/>
  <c r="F18" i="4"/>
  <c r="E12" i="4"/>
  <c r="G12" i="4"/>
  <c r="G11" i="4"/>
  <c r="E10" i="4"/>
  <c r="G10" i="4"/>
  <c r="E9" i="4"/>
  <c r="G9" i="4"/>
  <c r="K13" i="1"/>
  <c r="L13" i="1"/>
  <c r="M13" i="1"/>
  <c r="K14" i="1"/>
  <c r="L14" i="1"/>
  <c r="M14" i="1"/>
  <c r="K16" i="1"/>
  <c r="L16" i="1"/>
  <c r="M16" i="1"/>
  <c r="I25" i="1"/>
  <c r="H25" i="1"/>
  <c r="K25" i="1"/>
  <c r="I26" i="1"/>
  <c r="H26" i="1"/>
  <c r="K26" i="1"/>
  <c r="I27" i="1"/>
  <c r="H27" i="1"/>
  <c r="K27" i="1"/>
  <c r="I28" i="1"/>
  <c r="H28" i="1"/>
  <c r="K28" i="1"/>
  <c r="B41" i="1"/>
  <c r="J28" i="1"/>
  <c r="J27" i="1"/>
  <c r="J26" i="1"/>
  <c r="J25" i="1"/>
  <c r="H8" i="1"/>
  <c r="B8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B7" authorId="0" shapeId="0" xr:uid="{00000000-0006-0000-0200-000001000000}">
      <text>
        <r>
          <rPr>
            <sz val="10"/>
            <rFont val="Arial"/>
            <family val="2"/>
          </rPr>
          <t>Auto-generated. Do not type here.</t>
        </r>
      </text>
    </comment>
    <comment ref="Y7" authorId="0" shapeId="0" xr:uid="{00000000-0006-0000-0200-000002000000}">
      <text>
        <r>
          <rPr>
            <sz val="10"/>
            <rFont val="Arial"/>
            <family val="2"/>
          </rPr>
          <t>Pick the candidate's furthest progressed stage. Drives the dashboard funnel.</t>
        </r>
      </text>
    </comment>
    <comment ref="Z7" authorId="0" shapeId="0" xr:uid="{00000000-0006-0000-0200-000003000000}">
      <text>
        <r>
          <rPr>
            <sz val="10"/>
            <rFont val="Arial"/>
            <family val="2"/>
          </rPr>
          <t>Active = still in process. Hired/Rejected/Withdrew are terminal states.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tc={67978FCE-7A95-47A6-A5AA-EB274F7DEFB4}</author>
    <author>tc={C754887F-5BCC-49AB-B84B-B9296C2D2BAD}</author>
    <author>tc={A5FC992E-02D5-405A-BDD7-92522B6457EF}</author>
  </authors>
  <commentList>
    <comment ref="B10" authorId="0" shapeId="0" xr:uid="{67978FCE-7A95-47A6-A5AA-EB274F7DEFB4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@Chedraui, Ernesto Please update. Round 1 is the 30 minute 1:1 Behavioral Screening. If candidate passes, then given a take home assignment to prepare for the next interview (Round 2) </t>
      </text>
    </comment>
    <comment ref="B11" authorId="1" shapeId="0" xr:uid="{C754887F-5BCC-49AB-B84B-B9296C2D2BAD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@Chedraui, Ernesto Please update. Round 2 is Panel interview to review the solution the candidate has built, test their approach and problem solving skills, and very importantly understand their technical abilities on a specific platform. 
Panel consists of minimum of two and up to three members for this second interview:
1) Original interviewer from behavioral screening or another PMD/SM interviewer from table below 
2) Platform CTO or another platform specific PMD/SM SME (e.g. Databricks Engineer for Databricks FDE candidate or Anthropic/Claude proficient AI Engineer for Frontier AI FDE candidate)
3) Domain specialist (e.g. life sciences sector specialist, supply chain SME… if relevant)</t>
      </text>
    </comment>
    <comment ref="B12" authorId="2" shapeId="0" xr:uid="{A5FC992E-02D5-405A-BDD7-92522B6457EF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@Chedraui, Ernesto Please update. Round 3 is the final 1:1 interview with a Senior FDE Leader to confirm ability to shape, sell and deliver - overall fit. </t>
      </text>
    </comment>
  </commentList>
</comments>
</file>

<file path=xl/sharedStrings.xml><?xml version="1.0" encoding="utf-8"?>
<sst xmlns="http://schemas.openxmlformats.org/spreadsheetml/2006/main" count="748" uniqueCount="293">
  <si>
    <t>Deloitte.</t>
  </si>
  <si>
    <t>FDE Recruiting Dashboard</t>
  </si>
  <si>
    <t>Report Date</t>
  </si>
  <si>
    <t>ACTIVE CANDIDATES</t>
  </si>
  <si>
    <t>IN INTERVIEW LOOP</t>
  </si>
  <si>
    <t>OFFERS OUT</t>
  </si>
  <si>
    <t>HIRED</t>
  </si>
  <si>
    <t>"R1 + R2 + R3 in flight"</t>
  </si>
  <si>
    <t>"awaiting acceptance"</t>
  </si>
  <si>
    <t>"to date"</t>
  </si>
  <si>
    <t>PIPELINE FUNNEL — CANDIDATES BY STAGE</t>
  </si>
  <si>
    <t>INTERVIEWER CAPACITY vs DEMAND</t>
  </si>
  <si>
    <t>Stage</t>
  </si>
  <si>
    <t>Invite / Scheduled</t>
  </si>
  <si>
    <t>Conducted</t>
  </si>
  <si>
    <t>Total</t>
  </si>
  <si>
    <t>Round</t>
  </si>
  <si>
    <t>Demand
(in queue)</t>
  </si>
  <si>
    <t>Weekly
Capacity</t>
  </si>
  <si>
    <t>Load
(weeks)</t>
  </si>
  <si>
    <t>Status</t>
  </si>
  <si>
    <t>Total Applicants</t>
  </si>
  <si>
    <t>Recruiter Screen</t>
  </si>
  <si>
    <t>Round 1 (R1)</t>
  </si>
  <si>
    <t>Round 1 — Behavioral Screening</t>
  </si>
  <si>
    <t>Round 2 (R2)</t>
  </si>
  <si>
    <t>Round 2 — Panel Interview</t>
  </si>
  <si>
    <t>Round 3 (R3)</t>
  </si>
  <si>
    <t>Round 3 — Final 1:1 Interview</t>
  </si>
  <si>
    <t>Load = candidates in queue ÷ weekly interview capacity. ≥ 2 weeks = AT RISK. Edit capacity inputs on the 'Interviewer Capacity' sheet.</t>
  </si>
  <si>
    <t>Offer Extended</t>
  </si>
  <si>
    <t>Hired and Ready to Onboard</t>
  </si>
  <si>
    <t>VOLUME PROJECTION — WHAT HAPPENS IF CANDIDATE FLOW INCREASES?</t>
  </si>
  <si>
    <t>Editable assumptions (yellow):</t>
  </si>
  <si>
    <t>Recruiter screens / week</t>
  </si>
  <si>
    <t>Weekly Demand
(projected)</t>
  </si>
  <si>
    <t>Weekly Capacity</t>
  </si>
  <si>
    <t>Gap</t>
  </si>
  <si>
    <t>Screen → R1 pass rate</t>
  </si>
  <si>
    <t>R1 → R2 pass rate</t>
  </si>
  <si>
    <t>Round 1</t>
  </si>
  <si>
    <t>R2 → R3 pass rate</t>
  </si>
  <si>
    <t>Round 2</t>
  </si>
  <si>
    <t>R3 → Offer rate</t>
  </si>
  <si>
    <t>Round 3</t>
  </si>
  <si>
    <t>DAYS IN QUEUE — HOW LONG ARE CANDIDATES WAITING?</t>
  </si>
  <si>
    <t>Days since last touchpoint, by stage. N/A excluded. Targets: &lt;7 OK, 7-14 watch, 15+ at risk.</t>
  </si>
  <si>
    <t>Active in queue</t>
  </si>
  <si>
    <t>Avg days waiting</t>
  </si>
  <si>
    <t>Max days waiting</t>
  </si>
  <si>
    <t># &gt; 14 days</t>
  </si>
  <si>
    <t>Longest wait:</t>
  </si>
  <si>
    <t>KEY MESSAGE</t>
  </si>
  <si>
    <t>FDE Recruiting Pipeline</t>
  </si>
  <si>
    <t>Platform</t>
  </si>
  <si>
    <t>R1 Invite</t>
  </si>
  <si>
    <t>R1 Conducted</t>
  </si>
  <si>
    <t>R2 Invite</t>
  </si>
  <si>
    <t>R2 Conducted</t>
  </si>
  <si>
    <t>R3 Invite</t>
  </si>
  <si>
    <t>R3 Conducted</t>
  </si>
  <si>
    <t>Offers</t>
  </si>
  <si>
    <t>Hires</t>
  </si>
  <si>
    <t>Databricks</t>
  </si>
  <si>
    <t>Palantir</t>
  </si>
  <si>
    <t>AWS</t>
  </si>
  <si>
    <t>Anthropic</t>
  </si>
  <si>
    <t>Google</t>
  </si>
  <si>
    <t>OpenAI</t>
  </si>
  <si>
    <t>Microsoft</t>
  </si>
  <si>
    <t>Snowflake</t>
  </si>
  <si>
    <t>Frontier GenAI</t>
  </si>
  <si>
    <t>TOTAL</t>
  </si>
  <si>
    <t>FDE Candidate Tracker</t>
  </si>
  <si>
    <t>Add one row per candidate. Use the dropdowns where available. All dashboard metrics and the platform pipeline update automatically from this sheet. Do NOT delete columns or rename headers.</t>
  </si>
  <si>
    <t>Candidate ID</t>
  </si>
  <si>
    <t>Candidate Name</t>
  </si>
  <si>
    <t>Platform / Alliance</t>
  </si>
  <si>
    <t>Source</t>
  </si>
  <si>
    <t>Date Applied</t>
  </si>
  <si>
    <t>Recruiter</t>
  </si>
  <si>
    <t>Recruiter Screen Days in Queue</t>
  </si>
  <si>
    <t>Recruiter Screen Date</t>
  </si>
  <si>
    <t>Recruiter Screen Outcome</t>
  </si>
  <si>
    <t>Round 1 Days in Queue</t>
  </si>
  <si>
    <t>Round 1 Date</t>
  </si>
  <si>
    <t>Round 1 Interviewer</t>
  </si>
  <si>
    <t>Round 1 Outcome</t>
  </si>
  <si>
    <t>Round 2 Days in Queue</t>
  </si>
  <si>
    <t>Round 2 Date</t>
  </si>
  <si>
    <t>Round 2 Panelist 1</t>
  </si>
  <si>
    <t>Round 2 Panelist 2</t>
  </si>
  <si>
    <t>Round 2 Panelist 3</t>
  </si>
  <si>
    <t>Round 2 Outcome</t>
  </si>
  <si>
    <t>Round 3 Days in Queue</t>
  </si>
  <si>
    <t>Round 3 Date</t>
  </si>
  <si>
    <t>Round 3 Interviewer</t>
  </si>
  <si>
    <t>Round 3 Outcome</t>
  </si>
  <si>
    <t>Current Stage</t>
  </si>
  <si>
    <t>Hire Date</t>
  </si>
  <si>
    <t>Start Date</t>
  </si>
  <si>
    <t>Notes</t>
  </si>
  <si>
    <t>Ackermann, Mylin</t>
  </si>
  <si>
    <t>LinkedIn</t>
  </si>
  <si>
    <t>Matt Whittle (mwhittle@deloitte.com)</t>
  </si>
  <si>
    <t>Pass</t>
  </si>
  <si>
    <t xml:space="preserve">Faruk Muratovic </t>
  </si>
  <si>
    <t>Round 1 - Invite</t>
  </si>
  <si>
    <t>Active</t>
  </si>
  <si>
    <t>BACHAPALLY, SAI OOTEJ REDDY</t>
  </si>
  <si>
    <t>Paul Lemmon (plemmon@deloitte.com)</t>
  </si>
  <si>
    <t>Jillian Wanner</t>
  </si>
  <si>
    <t>Sanders, Evan</t>
  </si>
  <si>
    <t>Mike Schuler</t>
  </si>
  <si>
    <t>Sinha, Akash</t>
  </si>
  <si>
    <t xml:space="preserve">Mike Schuler </t>
  </si>
  <si>
    <t>Kadarla, Bharath</t>
  </si>
  <si>
    <t>Direct Employers</t>
  </si>
  <si>
    <t>Boles, Hunter</t>
  </si>
  <si>
    <t>Diana Gutman (diagutman@deloitte.com)</t>
  </si>
  <si>
    <t>Lecong, Phuong</t>
  </si>
  <si>
    <t>Elizondo Sanchez, Angel Adrian</t>
  </si>
  <si>
    <t>Employee Referral</t>
  </si>
  <si>
    <t xml:space="preserve">Jon Smyrl </t>
  </si>
  <si>
    <t>Marathe, Aparna</t>
  </si>
  <si>
    <t>Alumni Referral</t>
  </si>
  <si>
    <t>Phuong Lecong</t>
  </si>
  <si>
    <t>Vajrapu, Satya Sai Naga Venkata Kumar</t>
  </si>
  <si>
    <t>Dandu, Narendar</t>
  </si>
  <si>
    <t>Indeed</t>
  </si>
  <si>
    <t>Round 1 - Conducted</t>
  </si>
  <si>
    <t>Christoforidis, Alexandros</t>
  </si>
  <si>
    <t>Ojha, Keerti</t>
  </si>
  <si>
    <t>Tirumala, Nishit</t>
  </si>
  <si>
    <t xml:space="preserve">Phuong Lecong </t>
  </si>
  <si>
    <t>Round 2 - Invite</t>
  </si>
  <si>
    <t>Baskaran, Ramasamy</t>
  </si>
  <si>
    <t>Brijraj Limbad</t>
  </si>
  <si>
    <t>Dewan, Anupam</t>
  </si>
  <si>
    <t>Kakarla, Vinod</t>
  </si>
  <si>
    <t>Jon Smyrl</t>
  </si>
  <si>
    <t xml:space="preserve"> Faruk Muratovic</t>
  </si>
  <si>
    <t>Modh, Pranav</t>
  </si>
  <si>
    <t>John Zimmerman</t>
  </si>
  <si>
    <t>Mike Urbanczyk</t>
  </si>
  <si>
    <t>Su, Shuo</t>
  </si>
  <si>
    <t xml:space="preserve">Brijraj Limbad </t>
  </si>
  <si>
    <t>Vadde, Krishnan</t>
  </si>
  <si>
    <t>Faruk Muratovic</t>
  </si>
  <si>
    <t>Fail</t>
  </si>
  <si>
    <t>Muley, Gaurav</t>
  </si>
  <si>
    <t>Agency Referral</t>
  </si>
  <si>
    <t>Tony Witherspoon</t>
  </si>
  <si>
    <t>Gibbs, Justin</t>
  </si>
  <si>
    <t>Deloitte US Careers</t>
  </si>
  <si>
    <t>Prakul Sharma</t>
  </si>
  <si>
    <t>Hourani, Mark</t>
  </si>
  <si>
    <t>Tim Juravic (Did not join)</t>
  </si>
  <si>
    <t>Chris Carella</t>
  </si>
  <si>
    <t>Miranda, Maxcimiliano</t>
  </si>
  <si>
    <t>Withdrew</t>
  </si>
  <si>
    <t>Ganguly, Paromita</t>
  </si>
  <si>
    <t xml:space="preserve">Mark Urbanczyk </t>
  </si>
  <si>
    <t>Round 3 - Invite</t>
  </si>
  <si>
    <t>Falen, Zachary</t>
  </si>
  <si>
    <t>Rehire</t>
  </si>
  <si>
    <t>Tim Juravich</t>
  </si>
  <si>
    <t xml:space="preserve">Chris Carella </t>
  </si>
  <si>
    <t>Hired</t>
  </si>
  <si>
    <t>Adhikari, Shashi</t>
  </si>
  <si>
    <t>Recruiter Screen - Invited</t>
  </si>
  <si>
    <t>Akram, Russell</t>
  </si>
  <si>
    <t>Other - Conference or Alliance</t>
  </si>
  <si>
    <t>Recruiter Screen - Conducted</t>
  </si>
  <si>
    <t>Alterman, Hershel</t>
  </si>
  <si>
    <t>Recruiter Screen - Being Scheduled</t>
  </si>
  <si>
    <t>Ananthanarayan, Sanjay</t>
  </si>
  <si>
    <t>LinkedInSponsored</t>
  </si>
  <si>
    <t>Ananthapadmanabhan, Sivasubramanian</t>
  </si>
  <si>
    <t>Avasarala, Sriharshitha</t>
  </si>
  <si>
    <t>Bangalore Harish, Kushal</t>
  </si>
  <si>
    <t>Butler, Miles</t>
  </si>
  <si>
    <t>Chavan, Prajakta</t>
  </si>
  <si>
    <t>Chintakunta, Namatha</t>
  </si>
  <si>
    <t>Cp, Rudrama</t>
  </si>
  <si>
    <t>Dubey, Shivam</t>
  </si>
  <si>
    <t>Erwin, Derek</t>
  </si>
  <si>
    <t>Garcia, Josue</t>
  </si>
  <si>
    <t>Gogate, Anuja Vishvas</t>
  </si>
  <si>
    <t>Goyal, Vinit</t>
  </si>
  <si>
    <t>Hill, KATHLEEN</t>
  </si>
  <si>
    <t>Jha, Sonali</t>
  </si>
  <si>
    <t>Kalaiyarasan, Keerthika</t>
  </si>
  <si>
    <t>Kumar, Vikash</t>
  </si>
  <si>
    <t>Kumar.u, Kishore</t>
  </si>
  <si>
    <t>Le, Vinh</t>
  </si>
  <si>
    <t>Lim, Daehan</t>
  </si>
  <si>
    <t>Malone, Derrick</t>
  </si>
  <si>
    <t>Muthyala, Saichaitanya</t>
  </si>
  <si>
    <t>Narravula, SREENIVASULU</t>
  </si>
  <si>
    <t>Papaiahgari, Keerthi Reddy</t>
  </si>
  <si>
    <t>Patel, Ankit</t>
  </si>
  <si>
    <t>Paul, Andrew</t>
  </si>
  <si>
    <t>Prasad, Kethavath</t>
  </si>
  <si>
    <t>Deloitte Alumni Site</t>
  </si>
  <si>
    <t>Rajendra, Akhila</t>
  </si>
  <si>
    <t>Glassdoor</t>
  </si>
  <si>
    <t>Ranjan, Ashish</t>
  </si>
  <si>
    <t>Sai Gattu, Yashwanth</t>
  </si>
  <si>
    <t>Sattler, Evan R.</t>
  </si>
  <si>
    <t>Singh, Gaurav</t>
  </si>
  <si>
    <t>Sudharsan, Sriram</t>
  </si>
  <si>
    <t>URUMU, SAI ADITYA</t>
  </si>
  <si>
    <t>Veluguri, Venkata</t>
  </si>
  <si>
    <t>Vuyyuru, Bhavana Reddy</t>
  </si>
  <si>
    <t>FDE Interviewers</t>
  </si>
  <si>
    <t>Round 1 – Behavioral Screening</t>
  </si>
  <si>
    <t>Round 2 – Panel Solution Review</t>
  </si>
  <si>
    <t>Round 3 – Final Interview</t>
  </si>
  <si>
    <t>Recruiting Management POC: @Goss, Angela, @Bennett, Jeffrey</t>
  </si>
  <si>
    <t>Initial 1:1 behavioral, followed by problem set up if candidate passes</t>
  </si>
  <si>
    <t>Panel review of candidate’s working software/agentic solution</t>
  </si>
  <si>
    <t>1:1 with one of FDE Team leaders</t>
  </si>
  <si>
    <t>R1 Interview guidance:</t>
  </si>
  <si>
    <t>FDE Round 1 Interview Content</t>
  </si>
  <si>
    <t xml:space="preserve">
Faruk Muratovic
Akash Tayal
Tim Juravich
Prakul Sharma
Jillian Wanner
Baris Sarer
Jon Smyrl
Mike Schuler
Phuong Lecong 
Roy Yang
Frank Cantelmi
Chris Carella
Johnny Araujo</t>
  </si>
  <si>
    <r>
      <t>One of the interviewers from Round 1 </t>
    </r>
    <r>
      <rPr>
        <b/>
        <sz val="16"/>
        <color rgb="FF000000"/>
        <rFont val="Arial"/>
        <family val="2"/>
      </rPr>
      <t>+</t>
    </r>
    <r>
      <rPr>
        <b/>
        <sz val="9"/>
        <color rgb="FF000000"/>
        <rFont val="Arial"/>
        <family val="2"/>
      </rPr>
      <t>  one to two of the following (</t>
    </r>
    <r>
      <rPr>
        <b/>
        <i/>
        <sz val="9"/>
        <color rgb="FF000000"/>
        <rFont val="Arial"/>
        <family val="2"/>
      </rPr>
      <t>or their selected delegate)</t>
    </r>
    <r>
      <rPr>
        <b/>
        <sz val="9"/>
        <color rgb="FF000000"/>
        <rFont val="Arial"/>
        <family val="2"/>
      </rPr>
      <t>:</t>
    </r>
  </si>
  <si>
    <t xml:space="preserve">
Faruk Muratovic
Jason Wainstein 
Mark Urbanzyk
Tim Juravich
(or delegate)</t>
  </si>
  <si>
    <t>R2 Interview guidance:</t>
  </si>
  <si>
    <t>FDE Round 2 Interview Content</t>
  </si>
  <si>
    <r>
      <rPr>
        <b/>
        <sz val="9"/>
        <color rgb="FF000000"/>
        <rFont val="Arial"/>
        <family val="2"/>
      </rPr>
      <t xml:space="preserve">Anthropic
</t>
    </r>
    <r>
      <rPr>
        <sz val="9"/>
        <color rgb="FF000000"/>
        <rFont val="Arial"/>
        <family val="2"/>
      </rPr>
      <t>- Chris Carella
- Prakul Sharma
- Vinay Lekhraju
- Jatin Dave
- Ashish Chandra
- Adrian Mendoza
- Phuong Lecong</t>
    </r>
  </si>
  <si>
    <r>
      <rPr>
        <b/>
        <sz val="9"/>
        <color rgb="FF000000"/>
        <rFont val="Arial"/>
        <family val="2"/>
      </rPr>
      <t xml:space="preserve">Databricks
</t>
    </r>
    <r>
      <rPr>
        <sz val="9"/>
        <color rgb="FF000000"/>
        <rFont val="Arial"/>
        <family val="2"/>
      </rPr>
      <t>- Mani Kandasamy
- Brijraj Limbad
- Joyce Snelders
- Gayathri Ramaswami
- Vinay Lekhraju</t>
    </r>
  </si>
  <si>
    <r>
      <t>Snowflake</t>
    </r>
    <r>
      <rPr>
        <sz val="9"/>
        <color rgb="FF000000"/>
        <rFont val="Arial"/>
        <family val="2"/>
      </rPr>
      <t xml:space="preserve">
- Rupesh Dandekar
- Mainak Sarkar</t>
    </r>
  </si>
  <si>
    <r>
      <t>AWS w/ its relevant AI Engineering Products</t>
    </r>
    <r>
      <rPr>
        <sz val="9"/>
        <color rgb="FF000000"/>
        <rFont val="Arial"/>
        <family val="2"/>
      </rPr>
      <t xml:space="preserve">
- Tony Witherspoon
- Phuong Lecong 
- Mike Schuler</t>
    </r>
  </si>
  <si>
    <r>
      <t>Google w/ its relevant AI Enterprise Products</t>
    </r>
    <r>
      <rPr>
        <sz val="9"/>
        <color rgb="FF000000"/>
        <rFont val="Arial"/>
        <family val="2"/>
      </rPr>
      <t xml:space="preserve">
- Mamoun Hirzalla
- Renuka Balasubramaniam
- Sandeep Arora
- David Zhu</t>
    </r>
  </si>
  <si>
    <r>
      <t>OpenAI</t>
    </r>
    <r>
      <rPr>
        <sz val="9"/>
        <color rgb="FF000000"/>
        <rFont val="Arial"/>
        <family val="2"/>
      </rPr>
      <t xml:space="preserve">
- Niraj Juneja
- Manoj Suvaran</t>
    </r>
  </si>
  <si>
    <r>
      <t>Microsoft w/ its relevant AI Enterprise Products:</t>
    </r>
    <r>
      <rPr>
        <sz val="9"/>
        <color rgb="FF000000"/>
        <rFont val="Arial"/>
        <family val="2"/>
      </rPr>
      <t xml:space="preserve">
- Scott Rodgers
- Tyson Thedinger</t>
    </r>
  </si>
  <si>
    <r>
      <t>Salesforce</t>
    </r>
    <r>
      <rPr>
        <sz val="9"/>
        <color rgb="FF000000"/>
        <rFont val="Arial"/>
        <family val="2"/>
      </rPr>
      <t xml:space="preserve">
- Matt Fisher
- Yash Agarwal</t>
    </r>
  </si>
  <si>
    <r>
      <t>ServiceNow</t>
    </r>
    <r>
      <rPr>
        <sz val="9"/>
        <color rgb="FF000000"/>
        <rFont val="Arial"/>
        <family val="2"/>
      </rPr>
      <t xml:space="preserve">
- Matt Edward Ku
- Krishnakant Dave</t>
    </r>
  </si>
  <si>
    <t>Other platforms ramping up and  respective CTOs will be part of and recommend interview panelists</t>
  </si>
  <si>
    <t>Interviewer Capacity Inputs</t>
  </si>
  <si>
    <t>Edit the yellow cells. These drive the capacity warnings and load metrics on the Dashboard. Update weekly as the interviewer pool grows or shrinks.</t>
  </si>
  <si>
    <t>ROUND-LEVEL CAPACITY</t>
  </si>
  <si>
    <t># of Interviewers Available</t>
  </si>
  <si>
    <t>Interviews per Interviewer per Week (capacity)</t>
  </si>
  <si>
    <t>Weekly Capacity (auto)</t>
  </si>
  <si>
    <t>Target Throughput (candidates/week)</t>
  </si>
  <si>
    <t>Utilization at Target (auto)</t>
  </si>
  <si>
    <t>Recruiters + sourcers. Bottleneck during TAM freeze.</t>
  </si>
  <si>
    <r>
      <t xml:space="preserve">Round 1 — 30 minute 1:1 Behavioral Screening. 
</t>
    </r>
    <r>
      <rPr>
        <sz val="10"/>
        <rFont val="Verdana"/>
        <family val="2"/>
      </rPr>
      <t xml:space="preserve">If candidate passes, then given a take home assignment to prepare for the next interview. </t>
    </r>
  </si>
  <si>
    <t>FDE Academy instructor or grad.</t>
  </si>
  <si>
    <r>
      <t xml:space="preserve">Round 2 — Panel Interview
</t>
    </r>
    <r>
      <rPr>
        <sz val="10"/>
        <rFont val="Verdana"/>
        <family val="2"/>
      </rPr>
      <t>Review the solution the candidate has built, test their approach and problem solving skills, and very importantly understand their technical abilities on a specific platform. 
Panel consists of minimum of two and up to three members for this second interview:
1) Original interviewer from behavioral screening or another PMD/SM interviewer
2) Platform CTO or another platform specific PMD/SM SME (e.g. Databricks Engineer for Databricks FDE candidate or Anthropic/Claude proficient AI Engineer for Frontier AI FDE candidate)
3) Domain specialist (e.g. life sciences sector specialist, supply chain SME… if relevant)</t>
    </r>
  </si>
  <si>
    <t>Needs FDE practitioner + OP practitioner + optional PPMD per panel.</t>
  </si>
  <si>
    <r>
      <t xml:space="preserve">Round 3 — Final 1:1 Interview
</t>
    </r>
    <r>
      <rPr>
        <sz val="10"/>
        <rFont val="Verdana"/>
        <family val="2"/>
      </rPr>
      <t xml:space="preserve">With Senior FDE Leader to confirm ability to shape, sell, and deliver, and overall fit. </t>
    </r>
  </si>
  <si>
    <t>Faruk M., Tim Juravich, Urbanzyk, Jason Wainstein.</t>
  </si>
  <si>
    <t>DOMAIN SPECIALIST COVERAGE BY PLATFORM</t>
  </si>
  <si>
    <t>Domain specialists are pulled into Round 2 panels. If a platform has only 1 specialist and several candidates in flight, scheduling will stall.</t>
  </si>
  <si>
    <t># Domain Specialists</t>
  </si>
  <si>
    <t>Active Candidates (auto)</t>
  </si>
  <si>
    <t>Candidates per Specialist (auto)</t>
  </si>
  <si>
    <t>Risk Flag (auto)</t>
  </si>
  <si>
    <t>NVIDIA</t>
  </si>
  <si>
    <t>Oracle</t>
  </si>
  <si>
    <t>SAP</t>
  </si>
  <si>
    <t>Salesforce</t>
  </si>
  <si>
    <t>ServiceNow</t>
  </si>
  <si>
    <t>Workday</t>
  </si>
  <si>
    <t>Lookup Lists</t>
  </si>
  <si>
    <t>Platforms</t>
  </si>
  <si>
    <t>Outcome</t>
  </si>
  <si>
    <t>Note: This sheet feeds dropdown lists in the Candidate Tracker. Add new platforms or statuses here and they'll appear as options in the tracker.</t>
  </si>
  <si>
    <t>Applicant</t>
  </si>
  <si>
    <t>Pending</t>
  </si>
  <si>
    <t>On Hold</t>
  </si>
  <si>
    <t>Referral</t>
  </si>
  <si>
    <t>Rejected</t>
  </si>
  <si>
    <t>TAM/Workday</t>
  </si>
  <si>
    <t>Strong Hire</t>
  </si>
  <si>
    <t>Recruiter Outreach</t>
  </si>
  <si>
    <t>Hire</t>
  </si>
  <si>
    <t>Job Board</t>
  </si>
  <si>
    <t>No Hire</t>
  </si>
  <si>
    <t>Career Fair</t>
  </si>
  <si>
    <t>N/A</t>
  </si>
  <si>
    <t>Internal Transfer</t>
  </si>
  <si>
    <t>Round 2 - Conducted</t>
  </si>
  <si>
    <t>Other</t>
  </si>
  <si>
    <t>Alphabet</t>
  </si>
  <si>
    <t>Round 3 - Conducted</t>
  </si>
  <si>
    <t>Cyber</t>
  </si>
  <si>
    <t>S&amp;T</t>
  </si>
  <si>
    <t>HC</t>
  </si>
  <si>
    <t>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</si>
</sst>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mmmm\ d&quot;, &quot;yyyy"/>
    <numFmt numFmtId="165" formatCode="0.0"/>
    <numFmt numFmtId="166" formatCode="0.0;\(0.0\);\-"/>
    <numFmt numFmtId="167" formatCode="0;0;&quot;&quot;"/>
    <numFmt numFmtId="168" formatCode="0;0;&quot;-&quot;"/>
    <numFmt numFmtId="169" formatCode="0.0&quot; days&quot;"/>
    <numFmt numFmtId="170" formatCode="0&quot; days&quot;"/>
  </numFmts>
  <fonts count="39">
    <font>
      <sz val="11"/>
      <color theme="1"/>
      <name val="Calibri"/>
      <family val="2"/>
      <charset val="1"/>
    </font>
    <font>
      <sz val="10"/>
      <name val="Arial"/>
      <family val="2"/>
    </font>
    <font>
      <b/>
      <sz val="10"/>
      <color rgb="FF000000"/>
      <name val="Verdana"/>
      <family val="2"/>
    </font>
    <font>
      <sz val="10"/>
      <color theme="1"/>
      <name val="Verdana"/>
      <family val="2"/>
    </font>
    <font>
      <i/>
      <sz val="10"/>
      <color rgb="FF404040"/>
      <name val="Verdana"/>
      <family val="2"/>
    </font>
    <font>
      <b/>
      <sz val="10"/>
      <color rgb="FFFFFFFF"/>
      <name val="Verdana"/>
      <family val="2"/>
    </font>
    <font>
      <b/>
      <sz val="10"/>
      <name val="Verdana"/>
      <family val="2"/>
    </font>
    <font>
      <sz val="10"/>
      <name val="Verdana"/>
      <family val="2"/>
    </font>
    <font>
      <b/>
      <sz val="10"/>
      <color theme="0"/>
      <name val="Verdana"/>
      <family val="2"/>
    </font>
    <font>
      <b/>
      <sz val="12"/>
      <color rgb="FFFFFFFF"/>
      <name val="Aptos"/>
    </font>
    <font>
      <sz val="12"/>
      <color rgb="FF000000"/>
      <name val="Aptos Narrow"/>
      <family val="2"/>
    </font>
    <font>
      <sz val="12"/>
      <color rgb="FFFF0000"/>
      <name val="Aptos Narrow"/>
      <family val="2"/>
    </font>
    <font>
      <i/>
      <sz val="9"/>
      <color rgb="FF000000"/>
      <name val="Arial"/>
      <family val="2"/>
    </font>
    <font>
      <sz val="9"/>
      <color rgb="FF000000"/>
      <name val="Arial"/>
      <family val="2"/>
    </font>
    <font>
      <b/>
      <sz val="16"/>
      <color rgb="FF000000"/>
      <name val="Arial"/>
      <family val="2"/>
    </font>
    <font>
      <b/>
      <sz val="9"/>
      <color rgb="FF000000"/>
      <name val="Arial"/>
      <family val="2"/>
    </font>
    <font>
      <b/>
      <i/>
      <sz val="9"/>
      <color rgb="FF000000"/>
      <name val="Arial"/>
      <family val="2"/>
    </font>
    <font>
      <u/>
      <sz val="11"/>
      <color theme="10"/>
      <name val="Calibri"/>
      <family val="2"/>
      <charset val="1"/>
    </font>
    <font>
      <sz val="10"/>
      <color rgb="FF000000"/>
      <name val="Verdana"/>
      <family val="2"/>
    </font>
    <font>
      <i/>
      <sz val="9"/>
      <color theme="7" tint="0.39997558519241921"/>
      <name val="Arial"/>
      <family val="2"/>
    </font>
    <font>
      <sz val="11"/>
      <color theme="1"/>
      <name val="Verdana"/>
      <family val="2"/>
    </font>
    <font>
      <b/>
      <sz val="9"/>
      <color rgb="FF404040"/>
      <name val="Verdana"/>
      <family val="2"/>
    </font>
    <font>
      <b/>
      <sz val="14"/>
      <color rgb="FF000000"/>
      <name val="Verdana"/>
      <family val="2"/>
    </font>
    <font>
      <b/>
      <sz val="9"/>
      <color rgb="FFFFFFFF"/>
      <name val="Verdana"/>
      <family val="2"/>
    </font>
    <font>
      <sz val="9"/>
      <color rgb="FF404040"/>
      <name val="Verdana"/>
      <family val="2"/>
    </font>
    <font>
      <b/>
      <sz val="11"/>
      <color rgb="FFFFFFFF"/>
      <name val="Verdana"/>
      <family val="2"/>
    </font>
    <font>
      <b/>
      <sz val="12"/>
      <color rgb="FF000000"/>
      <name val="Verdana"/>
      <family val="2"/>
    </font>
    <font>
      <b/>
      <sz val="11"/>
      <name val="Verdana"/>
      <family val="2"/>
    </font>
    <font>
      <sz val="11"/>
      <name val="Verdana"/>
      <family val="2"/>
    </font>
    <font>
      <sz val="8"/>
      <color rgb="FF404040"/>
      <name val="Verdana"/>
      <family val="2"/>
    </font>
    <font>
      <sz val="11"/>
      <color rgb="FF000000"/>
      <name val="Verdana"/>
      <family val="2"/>
    </font>
    <font>
      <b/>
      <sz val="36"/>
      <color rgb="FF000000"/>
      <name val="Aptos"/>
      <family val="2"/>
    </font>
    <font>
      <b/>
      <sz val="20"/>
      <color rgb="FF000000"/>
      <name val="Verdana"/>
      <family val="2"/>
    </font>
    <font>
      <sz val="9"/>
      <color rgb="FF595959"/>
      <name val="Verdana"/>
      <family val="2"/>
    </font>
    <font>
      <b/>
      <sz val="10"/>
      <color theme="1"/>
      <name val="Verdana"/>
      <family val="2"/>
    </font>
    <font>
      <b/>
      <sz val="10"/>
      <color rgb="FFC00000"/>
      <name val="Verdana"/>
      <family val="2"/>
    </font>
    <font>
      <b/>
      <sz val="10"/>
      <color rgb="FF595959"/>
      <name val="Verdana"/>
      <family val="2"/>
    </font>
    <font>
      <i/>
      <sz val="10"/>
      <color rgb="FF595959"/>
      <name val="Verdana"/>
      <family val="2"/>
    </font>
    <font>
      <b/>
      <sz val="10"/>
      <color rgb="FF404040"/>
      <name val="Verdana"/>
      <family val="2"/>
    </font>
  </fonts>
  <fills count="25">
    <fill>
      <patternFill patternType="none"/>
    </fill>
    <fill>
      <patternFill patternType="gray125"/>
    </fill>
    <fill>
      <patternFill patternType="solid">
        <fgColor rgb="FF86BC25"/>
        <bgColor rgb="FF5E8A1C"/>
      </patternFill>
    </fill>
    <fill>
      <patternFill patternType="solid">
        <fgColor rgb="FFFFFFFF"/>
        <bgColor rgb="FFF2F2F2"/>
      </patternFill>
    </fill>
    <fill>
      <patternFill patternType="solid">
        <fgColor rgb="FF000000"/>
        <bgColor rgb="FF003300"/>
      </patternFill>
    </fill>
    <fill>
      <patternFill patternType="solid">
        <fgColor rgb="FFF2F2F2"/>
        <bgColor rgb="FFE2EFDA"/>
      </patternFill>
    </fill>
    <fill>
      <patternFill patternType="solid">
        <fgColor rgb="FFFFE699"/>
        <bgColor rgb="FFFFF2CC"/>
      </patternFill>
    </fill>
    <fill>
      <patternFill patternType="solid">
        <fgColor rgb="FFE2EFDA"/>
        <bgColor rgb="FFDDEBF7"/>
      </patternFill>
    </fill>
    <fill>
      <patternFill patternType="solid">
        <fgColor rgb="FF000000"/>
        <bgColor indexed="64"/>
      </patternFill>
    </fill>
    <fill>
      <patternFill patternType="solid">
        <fgColor theme="7"/>
        <bgColor rgb="FF333399"/>
      </patternFill>
    </fill>
    <fill>
      <patternFill patternType="solid">
        <fgColor theme="8"/>
        <bgColor rgb="FFFF8080"/>
      </patternFill>
    </fill>
    <fill>
      <patternFill patternType="solid">
        <fgColor theme="3"/>
        <bgColor rgb="FF339966"/>
      </patternFill>
    </fill>
    <fill>
      <patternFill patternType="solid">
        <fgColor rgb="FF3C7D22"/>
        <bgColor rgb="FF000000"/>
      </patternFill>
    </fill>
    <fill>
      <patternFill patternType="solid">
        <fgColor rgb="FFDAF2D0"/>
        <bgColor rgb="FF000000"/>
      </patternFill>
    </fill>
    <fill>
      <patternFill patternType="solid">
        <fgColor theme="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86BC25"/>
        <bgColor indexed="64"/>
      </patternFill>
    </fill>
    <fill>
      <patternFill patternType="solid">
        <fgColor rgb="FFD7E9B7"/>
        <bgColor indexed="64"/>
      </patternFill>
    </fill>
    <fill>
      <patternFill patternType="solid">
        <fgColor rgb="FFF2F8E7"/>
        <bgColor indexed="64"/>
      </patternFill>
    </fill>
    <fill>
      <patternFill patternType="solid">
        <fgColor theme="6"/>
        <bgColor rgb="FF5E8A1C"/>
      </patternFill>
    </fill>
    <fill>
      <patternFill patternType="solid">
        <fgColor theme="5"/>
        <bgColor rgb="FF5E8A1C"/>
      </patternFill>
    </fill>
    <fill>
      <patternFill patternType="solid">
        <fgColor theme="7"/>
        <bgColor rgb="FF5E8A1C"/>
      </patternFill>
    </fill>
    <fill>
      <patternFill patternType="solid">
        <fgColor theme="8"/>
        <bgColor rgb="FF5E8A1C"/>
      </patternFill>
    </fill>
    <fill>
      <patternFill patternType="solid">
        <fgColor theme="9"/>
        <bgColor rgb="FF5E8A1C"/>
      </patternFill>
    </fill>
  </fills>
  <borders count="28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/>
      <bottom style="thin">
        <color rgb="FFD9D9D9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/>
      <right style="thin">
        <color rgb="FFD9D9D9"/>
      </right>
      <top style="medium">
        <color rgb="FF86BC25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medium">
        <color rgb="FF86BC25"/>
      </top>
      <bottom style="thin">
        <color rgb="FFD9D9D9"/>
      </bottom>
      <diagonal/>
    </border>
    <border>
      <left style="thin">
        <color rgb="FFD9D9D9"/>
      </left>
      <right/>
      <top style="medium">
        <color rgb="FF86BC25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FFFFFF"/>
      </top>
      <bottom style="thin">
        <color rgb="FFBFBFBF"/>
      </bottom>
      <diagonal/>
    </border>
    <border>
      <left style="thin">
        <color rgb="FFBFBFBF"/>
      </left>
      <right style="thin">
        <color rgb="FFFFFFFF"/>
      </right>
      <top style="thin">
        <color rgb="FFFFFFFF"/>
      </top>
      <bottom style="thin">
        <color rgb="FFBFBFBF"/>
      </bottom>
      <diagonal/>
    </border>
    <border>
      <left style="thin">
        <color rgb="FF5E8A1C"/>
      </left>
      <right/>
      <top style="thin">
        <color rgb="FF5E8A1C"/>
      </top>
      <bottom/>
      <diagonal/>
    </border>
    <border>
      <left/>
      <right/>
      <top style="thin">
        <color rgb="FF5E8A1C"/>
      </top>
      <bottom/>
      <diagonal/>
    </border>
    <border>
      <left/>
      <right style="thin">
        <color rgb="FF5E8A1C"/>
      </right>
      <top style="thin">
        <color rgb="FF5E8A1C"/>
      </top>
      <bottom/>
      <diagonal/>
    </border>
    <border>
      <left style="thin">
        <color rgb="FF5E8A1C"/>
      </left>
      <right/>
      <top/>
      <bottom style="thin">
        <color rgb="FF5E8A1C"/>
      </bottom>
      <diagonal/>
    </border>
    <border>
      <left/>
      <right/>
      <top/>
      <bottom style="thin">
        <color rgb="FF5E8A1C"/>
      </bottom>
      <diagonal/>
    </border>
    <border>
      <left/>
      <right style="thin">
        <color rgb="FF5E8A1C"/>
      </right>
      <top/>
      <bottom style="thin">
        <color rgb="FF5E8A1C"/>
      </bottom>
      <diagonal/>
    </border>
    <border>
      <left/>
      <right/>
      <top style="thin">
        <color indexed="64"/>
      </top>
      <bottom style="medium">
        <color rgb="FF86BC25"/>
      </bottom>
      <diagonal/>
    </border>
    <border>
      <left style="thin">
        <color rgb="FF5E8A1C"/>
      </left>
      <right/>
      <top style="thin">
        <color rgb="FF5E8A1C"/>
      </top>
      <bottom style="thin">
        <color rgb="FF5E8A1C"/>
      </bottom>
      <diagonal/>
    </border>
    <border>
      <left/>
      <right/>
      <top style="thin">
        <color rgb="FF5E8A1C"/>
      </top>
      <bottom style="thin">
        <color rgb="FF5E8A1C"/>
      </bottom>
      <diagonal/>
    </border>
    <border>
      <left/>
      <right style="thin">
        <color rgb="FF5E8A1C"/>
      </right>
      <top style="thin">
        <color rgb="FF5E8A1C"/>
      </top>
      <bottom style="thin">
        <color rgb="FF5E8A1C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rgb="FF5E8A1C"/>
      </top>
      <bottom style="medium">
        <color theme="4"/>
      </bottom>
      <diagonal/>
    </border>
  </borders>
  <cellStyleXfs count="2">
    <xf numFmtId="0" fontId="0" fillId="0" borderId="0"/>
    <xf numFmtId="0" fontId="17" fillId="0" borderId="0" applyNumberFormat="0" applyFill="0" applyBorder="0" applyAlignment="0" applyProtection="0"/>
  </cellStyleXfs>
  <cellXfs count="113">
    <xf numFmtId="0" fontId="0" fillId="0" borderId="0" xfId="0"/>
    <xf numFmtId="0" fontId="2" fillId="8" borderId="0" xfId="0" applyFont="1" applyFill="1"/>
    <xf numFmtId="0" fontId="3" fillId="8" borderId="0" xfId="0" applyFont="1" applyFill="1"/>
    <xf numFmtId="0" fontId="3" fillId="0" borderId="0" xfId="0" applyFont="1"/>
    <xf numFmtId="0" fontId="6" fillId="5" borderId="3" xfId="0" applyFont="1" applyFill="1" applyBorder="1" applyAlignment="1">
      <alignment horizontal="center" vertical="center" wrapText="1"/>
    </xf>
    <xf numFmtId="167" fontId="7" fillId="0" borderId="3" xfId="0" applyNumberFormat="1" applyFont="1" applyBorder="1" applyAlignment="1">
      <alignment horizontal="center" vertical="center" wrapText="1"/>
    </xf>
    <xf numFmtId="0" fontId="5" fillId="4" borderId="3" xfId="0" applyFont="1" applyFill="1" applyBorder="1" applyAlignment="1">
      <alignment horizontal="center" vertical="center" wrapText="1"/>
    </xf>
    <xf numFmtId="1" fontId="5" fillId="4" borderId="3" xfId="0" applyNumberFormat="1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14" fontId="7" fillId="0" borderId="3" xfId="0" applyNumberFormat="1" applyFont="1" applyBorder="1" applyAlignment="1">
      <alignment horizontal="center" vertical="center" wrapText="1"/>
    </xf>
    <xf numFmtId="0" fontId="7" fillId="0" borderId="3" xfId="0" applyFont="1" applyBorder="1" applyAlignment="1">
      <alignment horizontal="left" vertical="center" wrapText="1"/>
    </xf>
    <xf numFmtId="0" fontId="6" fillId="0" borderId="3" xfId="0" applyFont="1" applyBorder="1" applyAlignment="1">
      <alignment horizontal="left" vertical="center" wrapText="1"/>
    </xf>
    <xf numFmtId="0" fontId="3" fillId="6" borderId="3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9" fontId="3" fillId="0" borderId="3" xfId="0" applyNumberFormat="1" applyFont="1" applyBorder="1" applyAlignment="1">
      <alignment horizontal="center" vertical="center" wrapText="1"/>
    </xf>
    <xf numFmtId="0" fontId="4" fillId="0" borderId="3" xfId="0" applyFont="1" applyBorder="1" applyAlignment="1">
      <alignment horizontal="left" vertical="center" wrapText="1"/>
    </xf>
    <xf numFmtId="165" fontId="3" fillId="0" borderId="3" xfId="0" applyNumberFormat="1" applyFont="1" applyBorder="1" applyAlignment="1">
      <alignment horizontal="center" vertical="center" wrapText="1"/>
    </xf>
    <xf numFmtId="0" fontId="8" fillId="8" borderId="0" xfId="0" applyFont="1" applyFill="1"/>
    <xf numFmtId="0" fontId="10" fillId="0" borderId="0" xfId="0" applyFont="1" applyAlignment="1">
      <alignment vertical="top" wrapText="1"/>
    </xf>
    <xf numFmtId="0" fontId="11" fillId="0" borderId="0" xfId="0" applyFont="1" applyAlignment="1">
      <alignment vertical="top"/>
    </xf>
    <xf numFmtId="0" fontId="0" fillId="0" borderId="0" xfId="0" applyAlignment="1">
      <alignment vertical="top"/>
    </xf>
    <xf numFmtId="0" fontId="10" fillId="0" borderId="0" xfId="0" applyFont="1" applyAlignment="1">
      <alignment vertical="top"/>
    </xf>
    <xf numFmtId="0" fontId="0" fillId="0" borderId="0" xfId="0" applyAlignment="1">
      <alignment horizontal="right" vertical="top"/>
    </xf>
    <xf numFmtId="0" fontId="17" fillId="0" borderId="0" xfId="1" applyAlignment="1">
      <alignment vertical="top"/>
    </xf>
    <xf numFmtId="0" fontId="9" fillId="12" borderId="4" xfId="0" applyFont="1" applyFill="1" applyBorder="1" applyAlignment="1">
      <alignment vertical="top" wrapText="1"/>
    </xf>
    <xf numFmtId="0" fontId="12" fillId="13" borderId="4" xfId="0" applyFont="1" applyFill="1" applyBorder="1" applyAlignment="1">
      <alignment vertical="top" wrapText="1"/>
    </xf>
    <xf numFmtId="0" fontId="15" fillId="0" borderId="4" xfId="0" applyFont="1" applyBorder="1" applyAlignment="1">
      <alignment vertical="top" wrapText="1"/>
    </xf>
    <xf numFmtId="0" fontId="10" fillId="0" borderId="0" xfId="0" applyFont="1" applyAlignment="1">
      <alignment horizontal="center" vertical="top"/>
    </xf>
    <xf numFmtId="0" fontId="7" fillId="0" borderId="5" xfId="0" applyFont="1" applyBorder="1" applyAlignment="1">
      <alignment horizontal="left" vertical="center" wrapText="1"/>
    </xf>
    <xf numFmtId="0" fontId="7" fillId="0" borderId="6" xfId="0" applyFont="1" applyBorder="1" applyAlignment="1">
      <alignment horizontal="left" vertical="center" wrapText="1"/>
    </xf>
    <xf numFmtId="0" fontId="18" fillId="15" borderId="7" xfId="0" applyFont="1" applyFill="1" applyBorder="1" applyAlignment="1">
      <alignment horizontal="left"/>
    </xf>
    <xf numFmtId="167" fontId="18" fillId="15" borderId="3" xfId="0" applyNumberFormat="1" applyFont="1" applyFill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5" fillId="2" borderId="14" xfId="0" applyFont="1" applyFill="1" applyBorder="1" applyAlignment="1">
      <alignment horizontal="center" vertical="center" wrapText="1"/>
    </xf>
    <xf numFmtId="0" fontId="5" fillId="2" borderId="15" xfId="0" applyFont="1" applyFill="1" applyBorder="1" applyAlignment="1">
      <alignment horizontal="center" vertical="center" wrapText="1"/>
    </xf>
    <xf numFmtId="1" fontId="7" fillId="0" borderId="3" xfId="0" applyNumberFormat="1" applyFont="1" applyBorder="1" applyAlignment="1">
      <alignment horizontal="center" vertical="center" wrapText="1"/>
    </xf>
    <xf numFmtId="0" fontId="5" fillId="20" borderId="3" xfId="0" applyFont="1" applyFill="1" applyBorder="1" applyAlignment="1">
      <alignment horizontal="center" vertical="center" wrapText="1"/>
    </xf>
    <xf numFmtId="0" fontId="19" fillId="0" borderId="4" xfId="0" applyFont="1" applyBorder="1" applyAlignment="1">
      <alignment vertical="top" wrapText="1"/>
    </xf>
    <xf numFmtId="0" fontId="5" fillId="21" borderId="3" xfId="0" applyFont="1" applyFill="1" applyBorder="1" applyAlignment="1">
      <alignment horizontal="center" vertical="center" wrapText="1"/>
    </xf>
    <xf numFmtId="0" fontId="5" fillId="22" borderId="3" xfId="0" applyFont="1" applyFill="1" applyBorder="1" applyAlignment="1">
      <alignment horizontal="center" vertical="center" wrapText="1"/>
    </xf>
    <xf numFmtId="0" fontId="5" fillId="23" borderId="3" xfId="0" applyFont="1" applyFill="1" applyBorder="1" applyAlignment="1">
      <alignment horizontal="center" vertical="center" wrapText="1"/>
    </xf>
    <xf numFmtId="0" fontId="5" fillId="24" borderId="3" xfId="0" applyFont="1" applyFill="1" applyBorder="1" applyAlignment="1">
      <alignment horizontal="center" vertical="center" wrapText="1"/>
    </xf>
    <xf numFmtId="0" fontId="20" fillId="0" borderId="0" xfId="0" applyFont="1"/>
    <xf numFmtId="168" fontId="26" fillId="16" borderId="8" xfId="0" applyNumberFormat="1" applyFont="1" applyFill="1" applyBorder="1" applyAlignment="1">
      <alignment horizontal="center" vertical="center" wrapText="1"/>
    </xf>
    <xf numFmtId="168" fontId="26" fillId="16" borderId="9" xfId="0" applyNumberFormat="1" applyFont="1" applyFill="1" applyBorder="1" applyAlignment="1">
      <alignment horizontal="center" vertical="center" wrapText="1"/>
    </xf>
    <xf numFmtId="168" fontId="26" fillId="16" borderId="10" xfId="0" applyNumberFormat="1" applyFont="1" applyFill="1" applyBorder="1" applyAlignment="1">
      <alignment horizontal="center" vertical="center" wrapText="1"/>
    </xf>
    <xf numFmtId="1" fontId="27" fillId="0" borderId="2" xfId="0" applyNumberFormat="1" applyFont="1" applyBorder="1" applyAlignment="1">
      <alignment horizontal="center" vertical="center" wrapText="1"/>
    </xf>
    <xf numFmtId="1" fontId="28" fillId="0" borderId="2" xfId="0" applyNumberFormat="1" applyFont="1" applyBorder="1" applyAlignment="1">
      <alignment horizontal="center" vertical="center" wrapText="1"/>
    </xf>
    <xf numFmtId="165" fontId="27" fillId="0" borderId="2" xfId="0" applyNumberFormat="1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168" fontId="26" fillId="15" borderId="11" xfId="0" applyNumberFormat="1" applyFont="1" applyFill="1" applyBorder="1" applyAlignment="1">
      <alignment horizontal="center" vertical="center" wrapText="1"/>
    </xf>
    <xf numFmtId="168" fontId="26" fillId="15" borderId="1" xfId="0" applyNumberFormat="1" applyFont="1" applyFill="1" applyBorder="1" applyAlignment="1">
      <alignment horizontal="center" vertical="center" wrapText="1"/>
    </xf>
    <xf numFmtId="168" fontId="26" fillId="15" borderId="12" xfId="0" applyNumberFormat="1" applyFont="1" applyFill="1" applyBorder="1" applyAlignment="1">
      <alignment horizontal="center" vertical="center" wrapText="1"/>
    </xf>
    <xf numFmtId="168" fontId="26" fillId="18" borderId="11" xfId="0" applyNumberFormat="1" applyFont="1" applyFill="1" applyBorder="1" applyAlignment="1">
      <alignment horizontal="center" vertical="center" wrapText="1"/>
    </xf>
    <xf numFmtId="168" fontId="26" fillId="18" borderId="1" xfId="0" applyNumberFormat="1" applyFont="1" applyFill="1" applyBorder="1" applyAlignment="1">
      <alignment horizontal="center" vertical="center" wrapText="1"/>
    </xf>
    <xf numFmtId="168" fontId="26" fillId="18" borderId="12" xfId="0" applyNumberFormat="1" applyFont="1" applyFill="1" applyBorder="1" applyAlignment="1">
      <alignment horizontal="center" vertical="center" wrapText="1"/>
    </xf>
    <xf numFmtId="168" fontId="26" fillId="19" borderId="11" xfId="0" applyNumberFormat="1" applyFont="1" applyFill="1" applyBorder="1" applyAlignment="1">
      <alignment horizontal="center" vertical="center" wrapText="1"/>
    </xf>
    <xf numFmtId="168" fontId="26" fillId="19" borderId="1" xfId="0" applyNumberFormat="1" applyFont="1" applyFill="1" applyBorder="1" applyAlignment="1">
      <alignment horizontal="center" vertical="center" wrapText="1"/>
    </xf>
    <xf numFmtId="168" fontId="26" fillId="19" borderId="12" xfId="0" applyNumberFormat="1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23" fillId="2" borderId="0" xfId="0" applyFont="1" applyFill="1" applyAlignment="1">
      <alignment horizontal="center" vertical="center" wrapText="1"/>
    </xf>
    <xf numFmtId="9" fontId="6" fillId="6" borderId="1" xfId="0" applyNumberFormat="1" applyFont="1" applyFill="1" applyBorder="1" applyAlignment="1">
      <alignment horizontal="center" vertical="center" wrapText="1"/>
    </xf>
    <xf numFmtId="166" fontId="27" fillId="0" borderId="2" xfId="0" applyNumberFormat="1" applyFont="1" applyBorder="1" applyAlignment="1">
      <alignment horizontal="center" vertical="center" wrapText="1"/>
    </xf>
    <xf numFmtId="0" fontId="32" fillId="0" borderId="0" xfId="0" applyFont="1" applyAlignment="1">
      <alignment horizontal="left" vertical="center"/>
    </xf>
    <xf numFmtId="0" fontId="20" fillId="0" borderId="27" xfId="0" applyFont="1" applyBorder="1"/>
    <xf numFmtId="0" fontId="33" fillId="0" borderId="27" xfId="0" applyFont="1" applyBorder="1"/>
    <xf numFmtId="0" fontId="7" fillId="0" borderId="1" xfId="0" applyFont="1" applyBorder="1" applyAlignment="1">
      <alignment wrapText="1"/>
    </xf>
    <xf numFmtId="0" fontId="34" fillId="0" borderId="0" xfId="0" applyFont="1"/>
    <xf numFmtId="0" fontId="3" fillId="0" borderId="0" xfId="0" applyFont="1" applyAlignment="1">
      <alignment horizontal="center"/>
    </xf>
    <xf numFmtId="169" fontId="3" fillId="0" borderId="0" xfId="0" applyNumberFormat="1" applyFont="1" applyAlignment="1">
      <alignment horizontal="center"/>
    </xf>
    <xf numFmtId="170" fontId="3" fillId="0" borderId="0" xfId="0" applyNumberFormat="1" applyFont="1" applyAlignment="1">
      <alignment horizontal="center"/>
    </xf>
    <xf numFmtId="0" fontId="36" fillId="0" borderId="0" xfId="0" applyFont="1"/>
    <xf numFmtId="0" fontId="35" fillId="0" borderId="0" xfId="0" applyFont="1"/>
    <xf numFmtId="170" fontId="34" fillId="0" borderId="0" xfId="0" applyNumberFormat="1" applyFont="1"/>
    <xf numFmtId="0" fontId="37" fillId="0" borderId="0" xfId="0" applyFont="1"/>
    <xf numFmtId="0" fontId="5" fillId="2" borderId="0" xfId="0" applyFont="1" applyFill="1" applyAlignment="1">
      <alignment horizontal="center" vertical="center" wrapText="1"/>
    </xf>
    <xf numFmtId="0" fontId="38" fillId="0" borderId="22" xfId="0" applyFont="1" applyBorder="1" applyAlignment="1">
      <alignment horizontal="center" vertical="center" wrapText="1"/>
    </xf>
    <xf numFmtId="0" fontId="34" fillId="0" borderId="26" xfId="0" applyFont="1" applyBorder="1" applyAlignment="1">
      <alignment horizontal="left" vertical="center" wrapText="1"/>
    </xf>
    <xf numFmtId="0" fontId="34" fillId="0" borderId="26" xfId="0" applyFont="1" applyBorder="1" applyAlignment="1">
      <alignment horizontal="center" vertical="center" wrapText="1"/>
    </xf>
    <xf numFmtId="1" fontId="8" fillId="14" borderId="0" xfId="0" applyNumberFormat="1" applyFont="1" applyFill="1" applyAlignment="1">
      <alignment horizontal="center" vertical="center"/>
    </xf>
    <xf numFmtId="0" fontId="30" fillId="7" borderId="16" xfId="0" applyFont="1" applyFill="1" applyBorder="1" applyAlignment="1">
      <alignment horizontal="left" vertical="center" wrapText="1"/>
    </xf>
    <xf numFmtId="0" fontId="30" fillId="7" borderId="17" xfId="0" applyFont="1" applyFill="1" applyBorder="1" applyAlignment="1">
      <alignment horizontal="left" vertical="center" wrapText="1"/>
    </xf>
    <xf numFmtId="0" fontId="30" fillId="7" borderId="18" xfId="0" applyFont="1" applyFill="1" applyBorder="1" applyAlignment="1">
      <alignment horizontal="left" vertical="center" wrapText="1"/>
    </xf>
    <xf numFmtId="0" fontId="30" fillId="7" borderId="19" xfId="0" applyFont="1" applyFill="1" applyBorder="1" applyAlignment="1">
      <alignment horizontal="left" vertical="center" wrapText="1"/>
    </xf>
    <xf numFmtId="0" fontId="30" fillId="7" borderId="20" xfId="0" applyFont="1" applyFill="1" applyBorder="1" applyAlignment="1">
      <alignment horizontal="left" vertical="center" wrapText="1"/>
    </xf>
    <xf numFmtId="0" fontId="30" fillId="7" borderId="21" xfId="0" applyFont="1" applyFill="1" applyBorder="1" applyAlignment="1">
      <alignment horizontal="left" vertical="center" wrapText="1"/>
    </xf>
    <xf numFmtId="0" fontId="6" fillId="0" borderId="2" xfId="0" applyFont="1" applyBorder="1" applyAlignment="1">
      <alignment horizontal="left" vertical="center" wrapText="1"/>
    </xf>
    <xf numFmtId="0" fontId="25" fillId="4" borderId="23" xfId="0" applyFont="1" applyFill="1" applyBorder="1" applyAlignment="1">
      <alignment horizontal="left" vertical="center" wrapText="1"/>
    </xf>
    <xf numFmtId="0" fontId="25" fillId="4" borderId="24" xfId="0" applyFont="1" applyFill="1" applyBorder="1" applyAlignment="1">
      <alignment horizontal="left" vertical="center" wrapText="1"/>
    </xf>
    <xf numFmtId="0" fontId="25" fillId="4" borderId="25" xfId="0" applyFont="1" applyFill="1" applyBorder="1" applyAlignment="1">
      <alignment horizontal="left" vertical="center" wrapText="1"/>
    </xf>
    <xf numFmtId="0" fontId="25" fillId="4" borderId="0" xfId="0" applyFont="1" applyFill="1" applyAlignment="1">
      <alignment horizontal="left" vertical="center" wrapText="1"/>
    </xf>
    <xf numFmtId="0" fontId="24" fillId="0" borderId="0" xfId="0" applyFont="1" applyAlignment="1">
      <alignment vertical="center"/>
    </xf>
    <xf numFmtId="0" fontId="5" fillId="2" borderId="0" xfId="0" applyFont="1" applyFill="1" applyAlignment="1">
      <alignment horizontal="center" vertical="center" wrapText="1"/>
    </xf>
    <xf numFmtId="0" fontId="29" fillId="0" borderId="0" xfId="0" applyFont="1" applyAlignment="1">
      <alignment horizontal="left" vertical="top" wrapText="1"/>
    </xf>
    <xf numFmtId="0" fontId="7" fillId="0" borderId="2" xfId="0" applyFont="1" applyBorder="1" applyAlignment="1">
      <alignment horizontal="left" vertical="center" wrapText="1"/>
    </xf>
    <xf numFmtId="0" fontId="38" fillId="0" borderId="22" xfId="0" applyFont="1" applyBorder="1" applyAlignment="1">
      <alignment horizontal="left" vertical="center" wrapText="1"/>
    </xf>
    <xf numFmtId="0" fontId="6" fillId="5" borderId="2" xfId="0" applyFont="1" applyFill="1" applyBorder="1" applyAlignment="1">
      <alignment horizontal="left" vertical="center" wrapText="1"/>
    </xf>
    <xf numFmtId="0" fontId="32" fillId="0" borderId="0" xfId="0" applyFont="1" applyAlignment="1">
      <alignment horizontal="left" vertical="center"/>
    </xf>
    <xf numFmtId="0" fontId="21" fillId="0" borderId="0" xfId="0" applyFont="1" applyAlignment="1">
      <alignment horizontal="right" vertical="center" wrapText="1"/>
    </xf>
    <xf numFmtId="164" fontId="22" fillId="0" borderId="0" xfId="0" applyNumberFormat="1" applyFont="1" applyAlignment="1">
      <alignment horizontal="right" vertical="center"/>
    </xf>
    <xf numFmtId="0" fontId="23" fillId="2" borderId="1" xfId="0" applyFont="1" applyFill="1" applyBorder="1" applyAlignment="1">
      <alignment horizontal="center" vertical="center" wrapText="1"/>
    </xf>
    <xf numFmtId="0" fontId="23" fillId="9" borderId="1" xfId="0" applyFont="1" applyFill="1" applyBorder="1" applyAlignment="1">
      <alignment horizontal="center" vertical="center" wrapText="1"/>
    </xf>
    <xf numFmtId="0" fontId="23" fillId="10" borderId="1" xfId="0" applyFont="1" applyFill="1" applyBorder="1" applyAlignment="1">
      <alignment horizontal="center" vertical="center" wrapText="1"/>
    </xf>
    <xf numFmtId="0" fontId="23" fillId="11" borderId="1" xfId="0" applyFont="1" applyFill="1" applyBorder="1" applyAlignment="1">
      <alignment horizontal="center" vertical="center" wrapText="1"/>
    </xf>
    <xf numFmtId="1" fontId="31" fillId="3" borderId="1" xfId="0" applyNumberFormat="1" applyFont="1" applyFill="1" applyBorder="1" applyAlignment="1">
      <alignment horizontal="center" vertical="center" wrapText="1"/>
    </xf>
    <xf numFmtId="0" fontId="24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13" fillId="0" borderId="4" xfId="0" applyFont="1" applyBorder="1" applyAlignment="1">
      <alignment vertical="top" wrapText="1"/>
    </xf>
    <xf numFmtId="0" fontId="5" fillId="2" borderId="0" xfId="0" applyFont="1" applyFill="1" applyAlignment="1">
      <alignment horizontal="left" vertical="center" wrapText="1"/>
    </xf>
    <xf numFmtId="0" fontId="4" fillId="0" borderId="0" xfId="0" applyFont="1" applyAlignment="1">
      <alignment horizontal="left" vertical="top" wrapText="1"/>
    </xf>
    <xf numFmtId="0" fontId="20" fillId="0" borderId="0" xfId="0" applyFont="1" applyAlignment="1"/>
    <xf numFmtId="0" fontId="5" fillId="17" borderId="14" xfId="0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26">
    <dxf>
      <fill>
        <patternFill>
          <bgColor rgb="FFE2EFDA"/>
        </patternFill>
      </fill>
    </dxf>
    <dxf>
      <fill>
        <patternFill>
          <bgColor rgb="FFFFE699"/>
        </patternFill>
      </fill>
    </dxf>
    <dxf>
      <font>
        <b/>
        <sz val="10"/>
        <color rgb="FFC00000"/>
        <name val="Arial"/>
        <charset val="1"/>
      </font>
      <fill>
        <patternFill>
          <bgColor rgb="FFF8CBAD"/>
        </patternFill>
      </fill>
    </dxf>
    <dxf>
      <font>
        <b/>
        <sz val="10"/>
        <color rgb="FFC00000"/>
        <name val="Arial"/>
        <charset val="1"/>
      </font>
      <fill>
        <patternFill>
          <bgColor rgb="FFF8CBAD"/>
        </patternFill>
      </fill>
    </dxf>
    <dxf>
      <fill>
        <patternFill>
          <bgColor rgb="FFE2EFDA"/>
        </patternFill>
      </fill>
    </dxf>
    <dxf>
      <fill>
        <patternFill>
          <bgColor rgb="FFFFE699"/>
        </patternFill>
      </fill>
    </dxf>
    <dxf>
      <font>
        <b/>
        <sz val="10"/>
        <color rgb="FFC00000"/>
        <name val="Arial"/>
        <charset val="1"/>
      </font>
      <fill>
        <patternFill>
          <bgColor rgb="FFF8CBAD"/>
        </patternFill>
      </fill>
    </dxf>
    <dxf>
      <fill>
        <patternFill>
          <bgColor rgb="FFFFE699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DDEBF7"/>
        </patternFill>
      </fill>
    </dxf>
    <dxf>
      <fill>
        <patternFill>
          <bgColor rgb="FFE2EFDA"/>
        </patternFill>
      </fill>
    </dxf>
    <dxf>
      <fill>
        <patternFill>
          <bgColor rgb="FFE2EFDA"/>
        </patternFill>
      </fill>
    </dxf>
    <dxf>
      <fill>
        <patternFill>
          <bgColor rgb="FFFFE699"/>
        </patternFill>
      </fill>
    </dxf>
    <dxf>
      <font>
        <b/>
        <sz val="10"/>
        <color rgb="FFC00000"/>
        <name val="Arial"/>
        <charset val="1"/>
      </font>
      <fill>
        <patternFill>
          <bgColor rgb="FFF8CBAD"/>
        </patternFill>
      </fill>
    </dxf>
    <dxf>
      <font>
        <b/>
        <sz val="10"/>
        <color rgb="FFC00000"/>
        <name val="Arial"/>
        <charset val="1"/>
      </font>
      <fill>
        <patternFill>
          <bgColor rgb="FFF8CBAD"/>
        </patternFill>
      </fill>
    </dxf>
    <dxf>
      <fill>
        <patternFill>
          <bgColor rgb="FFE2EFDA"/>
        </patternFill>
      </fill>
    </dxf>
    <dxf>
      <fill>
        <patternFill>
          <bgColor rgb="FFFFE699"/>
        </patternFill>
      </fill>
    </dxf>
    <dxf>
      <font>
        <b/>
        <sz val="10"/>
        <color rgb="FFC00000"/>
        <name val="Arial"/>
        <charset val="1"/>
      </font>
      <fill>
        <patternFill>
          <bgColor rgb="FFF8CBAD"/>
        </patternFill>
      </fill>
    </dxf>
    <dxf>
      <font>
        <b/>
        <sz val="10"/>
        <color rgb="FFC00000"/>
        <name val="Arial"/>
        <charset val="1"/>
      </font>
      <fill>
        <patternFill>
          <bgColor rgb="FFF8CBAD"/>
        </patternFill>
      </fill>
    </dxf>
    <dxf>
      <font>
        <b/>
        <sz val="11"/>
        <color rgb="FF5E8A1C"/>
        <name val="Arial"/>
        <charset val="1"/>
      </font>
    </dxf>
    <dxf>
      <font>
        <b/>
        <sz val="11"/>
        <color rgb="FFC00000"/>
        <name val="Arial"/>
        <charset val="1"/>
      </font>
    </dxf>
    <dxf>
      <fill>
        <patternFill patternType="solid">
          <fgColor indexed="64"/>
          <bgColor rgb="FFC6EFCE"/>
        </patternFill>
      </fill>
    </dxf>
    <dxf>
      <fill>
        <patternFill patternType="solid">
          <fgColor indexed="64"/>
          <bgColor rgb="FFFFEB84"/>
        </patternFill>
      </fill>
    </dxf>
    <dxf>
      <font>
        <b/>
        <i val="0"/>
        <color rgb="FFFFFFFF"/>
      </font>
      <fill>
        <patternFill patternType="solid">
          <fgColor indexed="64"/>
          <bgColor rgb="FFF8696B"/>
        </patternFill>
      </fill>
    </dxf>
    <dxf>
      <font>
        <b/>
        <i val="0"/>
        <color rgb="FFC00000"/>
      </font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E8A1C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BE5F1"/>
      <rgbColor rgb="FFE2EFDA"/>
      <rgbColor rgb="FFFFE699"/>
      <rgbColor rgb="FFF2F2F2"/>
      <rgbColor rgb="FFFCE4D6"/>
      <rgbColor rgb="FFCC99FF"/>
      <rgbColor rgb="FFF8CBAD"/>
      <rgbColor rgb="FF3366FF"/>
      <rgbColor rgb="FF33CCCC"/>
      <rgbColor rgb="FF86BC25"/>
      <rgbColor rgb="FFFFCC00"/>
      <rgbColor rgb="FFFF9900"/>
      <rgbColor rgb="FFED7D31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6FEA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3.xml"/></Relationships>
</file>

<file path=xl/documenttasks/documenttask1.xml><?xml version="1.0" encoding="utf-8"?>
<Tasks xmlns="http://schemas.microsoft.com/office/tasks/2019/documenttasks">
  <Task id="{1BDDE931-E920-489B-8738-9093A67A7C54}">
    <Anchor>
      <Comment id="{C754887F-5BCC-49AB-B84B-B9296C2D2BAD}"/>
    </Anchor>
    <History>
      <Event time="2026-05-01T17:46:59.58" id="{59C54D44-B659-4EEF-9885-7FAADF09B359}">
        <Attribution userId="S::clairemoyano@deloitte.com::6477a44f-27ac-4ae7-8bdb-4ac73b5f8ab0" userName="Moyano, Claire" userProvider="AD"/>
        <Anchor>
          <Comment id="{C754887F-5BCC-49AB-B84B-B9296C2D2BAD}"/>
        </Anchor>
        <Create/>
      </Event>
      <Event time="2026-05-01T17:46:59.58" id="{74757F7F-CEF3-4C99-8F56-2B040F150418}">
        <Attribution userId="S::clairemoyano@deloitte.com::6477a44f-27ac-4ae7-8bdb-4ac73b5f8ab0" userName="Moyano, Claire" userProvider="AD"/>
        <Anchor>
          <Comment id="{C754887F-5BCC-49AB-B84B-B9296C2D2BAD}"/>
        </Anchor>
        <Assign userId="S::echedraui@deloitte.com::93089c5d-dfae-48bd-aac8-da9850d844d7" userName="Chedraui, Ernesto" userProvider="AD"/>
      </Event>
      <Event time="2026-05-01T17:46:59.58" id="{1FAF245B-1AA9-455B-93A0-E1C03DA7CCA3}">
        <Attribution userId="S::clairemoyano@deloitte.com::6477a44f-27ac-4ae7-8bdb-4ac73b5f8ab0" userName="Moyano, Claire" userProvider="AD"/>
        <Anchor>
          <Comment id="{C754887F-5BCC-49AB-B84B-B9296C2D2BAD}"/>
        </Anchor>
        <SetTitle title="@Chedraui, Ernesto Please update. Round 2 is Panel interview to review the solution the candidate has built, test their approach and problem solving skills, and very importantly understand their technical abilities on a specific platform. Panel …"/>
      </Event>
      <Event time="2026-05-01T19:49:15.61" id="{29B5E4BD-0F27-47D3-8D02-DCEF4FF8BE96}">
        <Attribution userId="S::echedraui@deloitte.com::93089c5d-dfae-48bd-aac8-da9850d844d7" userName="Chedraui, Ernesto" userProvider="AD"/>
        <Progress percentComplete="100"/>
      </Event>
    </History>
  </Task>
  <Task id="{F2F4F434-29BD-4055-B1C2-B130E9E2BC1E}">
    <Anchor>
      <Comment id="{67978FCE-7A95-47A6-A5AA-EB274F7DEFB4}"/>
    </Anchor>
    <History>
      <Event time="2026-05-01T17:44:50.07" id="{4A1920AE-F670-4B0C-8C00-756F664E1967}">
        <Attribution userId="S::clairemoyano@deloitte.com::6477a44f-27ac-4ae7-8bdb-4ac73b5f8ab0" userName="Moyano, Claire" userProvider="AD"/>
        <Anchor>
          <Comment id="{67978FCE-7A95-47A6-A5AA-EB274F7DEFB4}"/>
        </Anchor>
        <Create/>
      </Event>
      <Event time="2026-05-01T17:44:50.07" id="{2384B5B2-360D-4C38-83AD-4DEA6527C897}">
        <Attribution userId="S::clairemoyano@deloitte.com::6477a44f-27ac-4ae7-8bdb-4ac73b5f8ab0" userName="Moyano, Claire" userProvider="AD"/>
        <Anchor>
          <Comment id="{67978FCE-7A95-47A6-A5AA-EB274F7DEFB4}"/>
        </Anchor>
        <Assign userId="S::echedraui@deloitte.com::93089c5d-dfae-48bd-aac8-da9850d844d7" userName="Chedraui, Ernesto" userProvider="AD"/>
      </Event>
      <Event time="2026-05-01T17:44:50.07" id="{BEA406DE-4FB0-4AE0-A0B1-65023E079FFA}">
        <Attribution userId="S::clairemoyano@deloitte.com::6477a44f-27ac-4ae7-8bdb-4ac73b5f8ab0" userName="Moyano, Claire" userProvider="AD"/>
        <Anchor>
          <Comment id="{67978FCE-7A95-47A6-A5AA-EB274F7DEFB4}"/>
        </Anchor>
        <SetTitle title="@Chedraui, Ernesto Please update. Round 1 is the 30 minute 1:1 Behavioral Screening. If candidate passes, then given a take home assignment to prepare for the next interview (Round 2)"/>
      </Event>
      <Event time="2026-05-01T19:49:17.33" id="{653FB6BA-998C-4A3F-92A8-3A137D22FE03}">
        <Attribution userId="S::echedraui@deloitte.com::93089c5d-dfae-48bd-aac8-da9850d844d7" userName="Chedraui, Ernesto" userProvider="AD"/>
        <Progress percentComplete="100"/>
      </Event>
    </History>
  </Task>
  <Task id="{6E1DA14C-5F48-4514-94DC-44853CD4EBBD}">
    <Anchor>
      <Comment id="{A5FC992E-02D5-405A-BDD7-92522B6457EF}"/>
    </Anchor>
    <History>
      <Event time="2026-05-01T17:48:15.88" id="{4CBD257B-1588-4184-83C4-9410E07F0291}">
        <Attribution userId="S::clairemoyano@deloitte.com::6477a44f-27ac-4ae7-8bdb-4ac73b5f8ab0" userName="Moyano, Claire" userProvider="AD"/>
        <Anchor>
          <Comment id="{A5FC992E-02D5-405A-BDD7-92522B6457EF}"/>
        </Anchor>
        <Create/>
      </Event>
      <Event time="2026-05-01T17:48:15.88" id="{D5F25EAC-2E73-49E7-B718-3644ABD5D035}">
        <Attribution userId="S::clairemoyano@deloitte.com::6477a44f-27ac-4ae7-8bdb-4ac73b5f8ab0" userName="Moyano, Claire" userProvider="AD"/>
        <Anchor>
          <Comment id="{A5FC992E-02D5-405A-BDD7-92522B6457EF}"/>
        </Anchor>
        <Assign userId="S::echedraui@deloitte.com::93089c5d-dfae-48bd-aac8-da9850d844d7" userName="Chedraui, Ernesto" userProvider="AD"/>
      </Event>
      <Event time="2026-05-01T17:48:15.88" id="{BB973F40-5D72-4F96-8895-C3351E48F054}">
        <Attribution userId="S::clairemoyano@deloitte.com::6477a44f-27ac-4ae7-8bdb-4ac73b5f8ab0" userName="Moyano, Claire" userProvider="AD"/>
        <Anchor>
          <Comment id="{A5FC992E-02D5-405A-BDD7-92522B6457EF}"/>
        </Anchor>
        <SetTitle title="@Chedraui, Ernesto Please update. Round 3 is the final 1:1 interview with a Senior FDE Leader to confirm ability to shape, sell and deliver - overall fit."/>
      </Event>
      <Event time="2026-05-01T19:49:57.27" id="{18856115-400A-48A9-8827-03118D1435C2}">
        <Attribution userId="S::echedraui@deloitte.com::93089c5d-dfae-48bd-aac8-da9850d844d7" userName="Chedraui, Ernesto" userProvider="AD"/>
        <Progress percentComplete="100"/>
      </Event>
    </History>
  </Task>
</Task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0</xdr:rowOff>
    </xdr:from>
    <xdr:to>
      <xdr:col>10</xdr:col>
      <xdr:colOff>474757</xdr:colOff>
      <xdr:row>2</xdr:row>
      <xdr:rowOff>2614</xdr:rowOff>
    </xdr:to>
    <xdr:grpSp>
      <xdr:nvGrpSpPr>
        <xdr:cNvPr id="2" name="object 4">
          <a:extLst>
            <a:ext uri="{FF2B5EF4-FFF2-40B4-BE49-F238E27FC236}">
              <a16:creationId xmlns:a16="http://schemas.microsoft.com/office/drawing/2014/main" id="{2B81179D-E7D1-4D7A-A0FA-393043A9FB51}"/>
            </a:ext>
          </a:extLst>
        </xdr:cNvPr>
        <xdr:cNvGrpSpPr>
          <a:grpSpLocks noChangeAspect="1"/>
        </xdr:cNvGrpSpPr>
      </xdr:nvGrpSpPr>
      <xdr:grpSpPr>
        <a:xfrm>
          <a:off x="0" y="0"/>
          <a:ext cx="10037857" cy="631264"/>
          <a:chOff x="0" y="0"/>
          <a:chExt cx="12191999" cy="783830"/>
        </a:xfrm>
      </xdr:grpSpPr>
      <xdr:pic>
        <xdr:nvPicPr>
          <xdr:cNvPr id="3" name="object 5">
            <a:extLst>
              <a:ext uri="{FF2B5EF4-FFF2-40B4-BE49-F238E27FC236}">
                <a16:creationId xmlns:a16="http://schemas.microsoft.com/office/drawing/2014/main" id="{182464A5-91D8-B70F-C3BE-9E20B6E2B452}"/>
              </a:ext>
            </a:extLst>
          </xdr:cNvPr>
          <xdr:cNvPicPr/>
        </xdr:nvPicPr>
        <xdr:blipFill>
          <a:blip xmlns:r="http://schemas.openxmlformats.org/officeDocument/2006/relationships" r:embed="rId1" cstate="print"/>
          <a:stretch>
            <a:fillRect/>
          </a:stretch>
        </xdr:blipFill>
        <xdr:spPr>
          <a:xfrm>
            <a:off x="0" y="0"/>
            <a:ext cx="12191999" cy="783830"/>
          </a:xfrm>
          <a:prstGeom prst="rect">
            <a:avLst/>
          </a:prstGeom>
        </xdr:spPr>
      </xdr:pic>
      <xdr:pic>
        <xdr:nvPicPr>
          <xdr:cNvPr id="4" name="object 6">
            <a:extLst>
              <a:ext uri="{FF2B5EF4-FFF2-40B4-BE49-F238E27FC236}">
                <a16:creationId xmlns:a16="http://schemas.microsoft.com/office/drawing/2014/main" id="{B1A6D3F0-1383-69B2-F33F-4FB9F826B958}"/>
              </a:ext>
            </a:extLst>
          </xdr:cNvPr>
          <xdr:cNvPicPr/>
        </xdr:nvPicPr>
        <xdr:blipFill>
          <a:blip xmlns:r="http://schemas.openxmlformats.org/officeDocument/2006/relationships" r:embed="rId2" cstate="print"/>
          <a:stretch>
            <a:fillRect/>
          </a:stretch>
        </xdr:blipFill>
        <xdr:spPr>
          <a:xfrm>
            <a:off x="10431602" y="325336"/>
            <a:ext cx="1106233" cy="188962"/>
          </a:xfrm>
          <a:prstGeom prst="rect">
            <a:avLst/>
          </a:prstGeom>
        </xdr:spPr>
      </xdr:pic>
      <xdr:sp macro="" textlink="">
        <xdr:nvSpPr>
          <xdr:cNvPr id="5" name="object 7">
            <a:extLst>
              <a:ext uri="{FF2B5EF4-FFF2-40B4-BE49-F238E27FC236}">
                <a16:creationId xmlns:a16="http://schemas.microsoft.com/office/drawing/2014/main" id="{1E56511C-0FCA-4833-4287-0628F18B7E04}"/>
              </a:ext>
            </a:extLst>
          </xdr:cNvPr>
          <xdr:cNvSpPr/>
        </xdr:nvSpPr>
        <xdr:spPr>
          <a:xfrm>
            <a:off x="1863631" y="494630"/>
            <a:ext cx="73660" cy="72390"/>
          </a:xfrm>
          <a:custGeom>
            <a:avLst/>
            <a:gdLst/>
            <a:ahLst/>
            <a:cxnLst/>
            <a:rect l="l" t="t" r="r" b="b"/>
            <a:pathLst>
              <a:path w="73660" h="72390">
                <a:moveTo>
                  <a:pt x="36550" y="0"/>
                </a:moveTo>
                <a:lnTo>
                  <a:pt x="22326" y="2844"/>
                </a:lnTo>
                <a:lnTo>
                  <a:pt x="10706" y="10591"/>
                </a:lnTo>
                <a:lnTo>
                  <a:pt x="2870" y="22098"/>
                </a:lnTo>
                <a:lnTo>
                  <a:pt x="0" y="36182"/>
                </a:lnTo>
                <a:lnTo>
                  <a:pt x="2870" y="50266"/>
                </a:lnTo>
                <a:lnTo>
                  <a:pt x="10706" y="61772"/>
                </a:lnTo>
                <a:lnTo>
                  <a:pt x="22326" y="69519"/>
                </a:lnTo>
                <a:lnTo>
                  <a:pt x="36550" y="72364"/>
                </a:lnTo>
                <a:lnTo>
                  <a:pt x="50774" y="69519"/>
                </a:lnTo>
                <a:lnTo>
                  <a:pt x="62395" y="61772"/>
                </a:lnTo>
                <a:lnTo>
                  <a:pt x="70231" y="50266"/>
                </a:lnTo>
                <a:lnTo>
                  <a:pt x="73101" y="36182"/>
                </a:lnTo>
                <a:lnTo>
                  <a:pt x="70231" y="22098"/>
                </a:lnTo>
                <a:lnTo>
                  <a:pt x="62395" y="10591"/>
                </a:lnTo>
                <a:lnTo>
                  <a:pt x="50774" y="2844"/>
                </a:lnTo>
                <a:lnTo>
                  <a:pt x="36550" y="0"/>
                </a:lnTo>
                <a:close/>
              </a:path>
            </a:pathLst>
          </a:custGeom>
          <a:solidFill>
            <a:srgbClr val="C1DE54"/>
          </a:solidFill>
        </xdr:spPr>
        <xdr:txBody>
          <a:bodyPr wrap="square" lIns="0" tIns="0" rIns="0" bIns="0" rtlCol="0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/>
          </a:p>
        </xdr:txBody>
      </xdr:sp>
      <xdr:sp macro="" textlink="">
        <xdr:nvSpPr>
          <xdr:cNvPr id="6" name="object 8">
            <a:extLst>
              <a:ext uri="{FF2B5EF4-FFF2-40B4-BE49-F238E27FC236}">
                <a16:creationId xmlns:a16="http://schemas.microsoft.com/office/drawing/2014/main" id="{55AD9C74-AFD6-51AD-AEAC-7BEC3B47C687}"/>
              </a:ext>
            </a:extLst>
          </xdr:cNvPr>
          <xdr:cNvSpPr/>
        </xdr:nvSpPr>
        <xdr:spPr>
          <a:xfrm>
            <a:off x="574459" y="311721"/>
            <a:ext cx="488315" cy="251460"/>
          </a:xfrm>
          <a:custGeom>
            <a:avLst/>
            <a:gdLst/>
            <a:ahLst/>
            <a:cxnLst/>
            <a:rect l="l" t="t" r="r" b="b"/>
            <a:pathLst>
              <a:path w="488315" h="251459">
                <a:moveTo>
                  <a:pt x="207327" y="120929"/>
                </a:moveTo>
                <a:lnTo>
                  <a:pt x="199288" y="70129"/>
                </a:lnTo>
                <a:lnTo>
                  <a:pt x="175539" y="32308"/>
                </a:lnTo>
                <a:lnTo>
                  <a:pt x="138696" y="10261"/>
                </a:lnTo>
                <a:lnTo>
                  <a:pt x="138696" y="123812"/>
                </a:lnTo>
                <a:lnTo>
                  <a:pt x="137871" y="140970"/>
                </a:lnTo>
                <a:lnTo>
                  <a:pt x="124968" y="177850"/>
                </a:lnTo>
                <a:lnTo>
                  <a:pt x="80187" y="195859"/>
                </a:lnTo>
                <a:lnTo>
                  <a:pt x="65735" y="195859"/>
                </a:lnTo>
                <a:lnTo>
                  <a:pt x="65735" y="56083"/>
                </a:lnTo>
                <a:lnTo>
                  <a:pt x="85242" y="56083"/>
                </a:lnTo>
                <a:lnTo>
                  <a:pt x="125691" y="72656"/>
                </a:lnTo>
                <a:lnTo>
                  <a:pt x="138696" y="123812"/>
                </a:lnTo>
                <a:lnTo>
                  <a:pt x="138696" y="10261"/>
                </a:lnTo>
                <a:lnTo>
                  <a:pt x="136525" y="9258"/>
                </a:lnTo>
                <a:lnTo>
                  <a:pt x="112141" y="3340"/>
                </a:lnTo>
                <a:lnTo>
                  <a:pt x="84518" y="1333"/>
                </a:lnTo>
                <a:lnTo>
                  <a:pt x="0" y="1333"/>
                </a:lnTo>
                <a:lnTo>
                  <a:pt x="0" y="251333"/>
                </a:lnTo>
                <a:lnTo>
                  <a:pt x="78740" y="251333"/>
                </a:lnTo>
                <a:lnTo>
                  <a:pt x="132816" y="242785"/>
                </a:lnTo>
                <a:lnTo>
                  <a:pt x="173380" y="217474"/>
                </a:lnTo>
                <a:lnTo>
                  <a:pt x="198742" y="176491"/>
                </a:lnTo>
                <a:lnTo>
                  <a:pt x="205168" y="150495"/>
                </a:lnTo>
                <a:lnTo>
                  <a:pt x="207327" y="120929"/>
                </a:lnTo>
                <a:close/>
              </a:path>
              <a:path w="488315" h="251459">
                <a:moveTo>
                  <a:pt x="487768" y="0"/>
                </a:moveTo>
                <a:lnTo>
                  <a:pt x="425297" y="0"/>
                </a:lnTo>
                <a:lnTo>
                  <a:pt x="425297" y="251320"/>
                </a:lnTo>
                <a:lnTo>
                  <a:pt x="487768" y="251320"/>
                </a:lnTo>
                <a:lnTo>
                  <a:pt x="487768" y="0"/>
                </a:lnTo>
                <a:close/>
              </a:path>
            </a:pathLst>
          </a:custGeom>
          <a:solidFill>
            <a:srgbClr val="FFFFFF"/>
          </a:solidFill>
        </xdr:spPr>
        <xdr:txBody>
          <a:bodyPr wrap="square" lIns="0" tIns="0" rIns="0" bIns="0" rtlCol="0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/>
          </a:p>
        </xdr:txBody>
      </xdr:sp>
      <xdr:pic>
        <xdr:nvPicPr>
          <xdr:cNvPr id="7" name="object 9">
            <a:extLst>
              <a:ext uri="{FF2B5EF4-FFF2-40B4-BE49-F238E27FC236}">
                <a16:creationId xmlns:a16="http://schemas.microsoft.com/office/drawing/2014/main" id="{B2B888EB-4EB5-1281-4E2E-3E115264A0A3}"/>
              </a:ext>
            </a:extLst>
          </xdr:cNvPr>
          <xdr:cNvPicPr/>
        </xdr:nvPicPr>
        <xdr:blipFill>
          <a:blip xmlns:r="http://schemas.openxmlformats.org/officeDocument/2006/relationships" r:embed="rId3" cstate="print"/>
          <a:stretch>
            <a:fillRect/>
          </a:stretch>
        </xdr:blipFill>
        <xdr:spPr>
          <a:xfrm>
            <a:off x="1087475" y="373583"/>
            <a:ext cx="180743" cy="192100"/>
          </a:xfrm>
          <a:prstGeom prst="rect">
            <a:avLst/>
          </a:prstGeom>
        </xdr:spPr>
      </xdr:pic>
      <xdr:sp macro="" textlink="">
        <xdr:nvSpPr>
          <xdr:cNvPr id="8" name="object 10">
            <a:extLst>
              <a:ext uri="{FF2B5EF4-FFF2-40B4-BE49-F238E27FC236}">
                <a16:creationId xmlns:a16="http://schemas.microsoft.com/office/drawing/2014/main" id="{D313FDEA-2DC9-2297-1ED0-32348380F594}"/>
              </a:ext>
            </a:extLst>
          </xdr:cNvPr>
          <xdr:cNvSpPr/>
        </xdr:nvSpPr>
        <xdr:spPr>
          <a:xfrm>
            <a:off x="800392" y="311721"/>
            <a:ext cx="1049020" cy="254000"/>
          </a:xfrm>
          <a:custGeom>
            <a:avLst/>
            <a:gdLst/>
            <a:ahLst/>
            <a:cxnLst/>
            <a:rect l="l" t="t" r="r" b="b"/>
            <a:pathLst>
              <a:path w="1049020" h="254000">
                <a:moveTo>
                  <a:pt x="175425" y="146761"/>
                </a:moveTo>
                <a:lnTo>
                  <a:pt x="174739" y="137020"/>
                </a:lnTo>
                <a:lnTo>
                  <a:pt x="174612" y="135242"/>
                </a:lnTo>
                <a:lnTo>
                  <a:pt x="174066" y="127457"/>
                </a:lnTo>
                <a:lnTo>
                  <a:pt x="153047" y="83439"/>
                </a:lnTo>
                <a:lnTo>
                  <a:pt x="118389" y="65468"/>
                </a:lnTo>
                <a:lnTo>
                  <a:pt x="118389" y="125895"/>
                </a:lnTo>
                <a:lnTo>
                  <a:pt x="118389" y="135242"/>
                </a:lnTo>
                <a:lnTo>
                  <a:pt x="64249" y="135242"/>
                </a:lnTo>
                <a:lnTo>
                  <a:pt x="65697" y="124447"/>
                </a:lnTo>
                <a:lnTo>
                  <a:pt x="68580" y="117259"/>
                </a:lnTo>
                <a:lnTo>
                  <a:pt x="77965" y="107899"/>
                </a:lnTo>
                <a:lnTo>
                  <a:pt x="84467" y="105740"/>
                </a:lnTo>
                <a:lnTo>
                  <a:pt x="99618" y="105740"/>
                </a:lnTo>
                <a:lnTo>
                  <a:pt x="106121" y="107899"/>
                </a:lnTo>
                <a:lnTo>
                  <a:pt x="111175" y="113665"/>
                </a:lnTo>
                <a:lnTo>
                  <a:pt x="115506" y="118694"/>
                </a:lnTo>
                <a:lnTo>
                  <a:pt x="118389" y="125895"/>
                </a:lnTo>
                <a:lnTo>
                  <a:pt x="118389" y="65468"/>
                </a:lnTo>
                <a:lnTo>
                  <a:pt x="108889" y="63195"/>
                </a:lnTo>
                <a:lnTo>
                  <a:pt x="89522" y="61849"/>
                </a:lnTo>
                <a:lnTo>
                  <a:pt x="69088" y="63461"/>
                </a:lnTo>
                <a:lnTo>
                  <a:pt x="23101" y="87033"/>
                </a:lnTo>
                <a:lnTo>
                  <a:pt x="1371" y="137020"/>
                </a:lnTo>
                <a:lnTo>
                  <a:pt x="0" y="158991"/>
                </a:lnTo>
                <a:lnTo>
                  <a:pt x="1511" y="180733"/>
                </a:lnTo>
                <a:lnTo>
                  <a:pt x="25260" y="229501"/>
                </a:lnTo>
                <a:lnTo>
                  <a:pt x="73888" y="252463"/>
                </a:lnTo>
                <a:lnTo>
                  <a:pt x="95288" y="253961"/>
                </a:lnTo>
                <a:lnTo>
                  <a:pt x="106133" y="253822"/>
                </a:lnTo>
                <a:lnTo>
                  <a:pt x="148628" y="247396"/>
                </a:lnTo>
                <a:lnTo>
                  <a:pt x="163880" y="241020"/>
                </a:lnTo>
                <a:lnTo>
                  <a:pt x="156159" y="208635"/>
                </a:lnTo>
                <a:lnTo>
                  <a:pt x="153771" y="198564"/>
                </a:lnTo>
                <a:lnTo>
                  <a:pt x="111226" y="208394"/>
                </a:lnTo>
                <a:lnTo>
                  <a:pt x="103238" y="208635"/>
                </a:lnTo>
                <a:lnTo>
                  <a:pt x="94564" y="208102"/>
                </a:lnTo>
                <a:lnTo>
                  <a:pt x="64198" y="182702"/>
                </a:lnTo>
                <a:lnTo>
                  <a:pt x="63525" y="175539"/>
                </a:lnTo>
                <a:lnTo>
                  <a:pt x="175425" y="175539"/>
                </a:lnTo>
                <a:lnTo>
                  <a:pt x="175425" y="146761"/>
                </a:lnTo>
                <a:close/>
              </a:path>
              <a:path w="1049020" h="254000">
                <a:moveTo>
                  <a:pt x="555548" y="64477"/>
                </a:moveTo>
                <a:lnTo>
                  <a:pt x="493077" y="64477"/>
                </a:lnTo>
                <a:lnTo>
                  <a:pt x="493077" y="251320"/>
                </a:lnTo>
                <a:lnTo>
                  <a:pt x="555548" y="251320"/>
                </a:lnTo>
                <a:lnTo>
                  <a:pt x="555548" y="64477"/>
                </a:lnTo>
                <a:close/>
              </a:path>
              <a:path w="1049020" h="254000">
                <a:moveTo>
                  <a:pt x="555548" y="0"/>
                </a:moveTo>
                <a:lnTo>
                  <a:pt x="493077" y="0"/>
                </a:lnTo>
                <a:lnTo>
                  <a:pt x="493077" y="42100"/>
                </a:lnTo>
                <a:lnTo>
                  <a:pt x="555548" y="42100"/>
                </a:lnTo>
                <a:lnTo>
                  <a:pt x="555548" y="0"/>
                </a:lnTo>
                <a:close/>
              </a:path>
              <a:path w="1049020" h="254000">
                <a:moveTo>
                  <a:pt x="713689" y="196862"/>
                </a:moveTo>
                <a:lnTo>
                  <a:pt x="704875" y="199707"/>
                </a:lnTo>
                <a:lnTo>
                  <a:pt x="696887" y="201739"/>
                </a:lnTo>
                <a:lnTo>
                  <a:pt x="689711" y="202958"/>
                </a:lnTo>
                <a:lnTo>
                  <a:pt x="683348" y="203365"/>
                </a:lnTo>
                <a:lnTo>
                  <a:pt x="671791" y="203365"/>
                </a:lnTo>
                <a:lnTo>
                  <a:pt x="666013" y="197586"/>
                </a:lnTo>
                <a:lnTo>
                  <a:pt x="666013" y="112268"/>
                </a:lnTo>
                <a:lnTo>
                  <a:pt x="706462" y="112268"/>
                </a:lnTo>
                <a:lnTo>
                  <a:pt x="706462" y="63842"/>
                </a:lnTo>
                <a:lnTo>
                  <a:pt x="666013" y="63842"/>
                </a:lnTo>
                <a:lnTo>
                  <a:pt x="666013" y="5283"/>
                </a:lnTo>
                <a:lnTo>
                  <a:pt x="602449" y="16840"/>
                </a:lnTo>
                <a:lnTo>
                  <a:pt x="602449" y="63842"/>
                </a:lnTo>
                <a:lnTo>
                  <a:pt x="580783" y="63842"/>
                </a:lnTo>
                <a:lnTo>
                  <a:pt x="580783" y="112268"/>
                </a:lnTo>
                <a:lnTo>
                  <a:pt x="602449" y="112268"/>
                </a:lnTo>
                <a:lnTo>
                  <a:pt x="602449" y="189623"/>
                </a:lnTo>
                <a:lnTo>
                  <a:pt x="603377" y="204914"/>
                </a:lnTo>
                <a:lnTo>
                  <a:pt x="625017" y="245122"/>
                </a:lnTo>
                <a:lnTo>
                  <a:pt x="662406" y="253974"/>
                </a:lnTo>
                <a:lnTo>
                  <a:pt x="669823" y="253834"/>
                </a:lnTo>
                <a:lnTo>
                  <a:pt x="713689" y="243852"/>
                </a:lnTo>
                <a:lnTo>
                  <a:pt x="713689" y="196862"/>
                </a:lnTo>
                <a:close/>
              </a:path>
              <a:path w="1049020" h="254000">
                <a:moveTo>
                  <a:pt x="858558" y="196862"/>
                </a:moveTo>
                <a:lnTo>
                  <a:pt x="850163" y="199707"/>
                </a:lnTo>
                <a:lnTo>
                  <a:pt x="842302" y="201739"/>
                </a:lnTo>
                <a:lnTo>
                  <a:pt x="834986" y="202958"/>
                </a:lnTo>
                <a:lnTo>
                  <a:pt x="828217" y="203365"/>
                </a:lnTo>
                <a:lnTo>
                  <a:pt x="817384" y="203365"/>
                </a:lnTo>
                <a:lnTo>
                  <a:pt x="811606" y="197586"/>
                </a:lnTo>
                <a:lnTo>
                  <a:pt x="811606" y="112268"/>
                </a:lnTo>
                <a:lnTo>
                  <a:pt x="851331" y="112268"/>
                </a:lnTo>
                <a:lnTo>
                  <a:pt x="851331" y="63842"/>
                </a:lnTo>
                <a:lnTo>
                  <a:pt x="811606" y="63842"/>
                </a:lnTo>
                <a:lnTo>
                  <a:pt x="811606" y="5283"/>
                </a:lnTo>
                <a:lnTo>
                  <a:pt x="748042" y="16129"/>
                </a:lnTo>
                <a:lnTo>
                  <a:pt x="748042" y="63842"/>
                </a:lnTo>
                <a:lnTo>
                  <a:pt x="725652" y="63842"/>
                </a:lnTo>
                <a:lnTo>
                  <a:pt x="725652" y="112268"/>
                </a:lnTo>
                <a:lnTo>
                  <a:pt x="748042" y="112268"/>
                </a:lnTo>
                <a:lnTo>
                  <a:pt x="748042" y="189623"/>
                </a:lnTo>
                <a:lnTo>
                  <a:pt x="748868" y="204914"/>
                </a:lnTo>
                <a:lnTo>
                  <a:pt x="769912" y="245122"/>
                </a:lnTo>
                <a:lnTo>
                  <a:pt x="807999" y="253974"/>
                </a:lnTo>
                <a:lnTo>
                  <a:pt x="815327" y="253834"/>
                </a:lnTo>
                <a:lnTo>
                  <a:pt x="858558" y="243852"/>
                </a:lnTo>
                <a:lnTo>
                  <a:pt x="858558" y="196862"/>
                </a:lnTo>
                <a:close/>
              </a:path>
              <a:path w="1049020" h="254000">
                <a:moveTo>
                  <a:pt x="1048600" y="146761"/>
                </a:moveTo>
                <a:lnTo>
                  <a:pt x="1013637" y="74002"/>
                </a:lnTo>
                <a:lnTo>
                  <a:pt x="991374" y="65468"/>
                </a:lnTo>
                <a:lnTo>
                  <a:pt x="991374" y="125895"/>
                </a:lnTo>
                <a:lnTo>
                  <a:pt x="991374" y="135242"/>
                </a:lnTo>
                <a:lnTo>
                  <a:pt x="937044" y="135242"/>
                </a:lnTo>
                <a:lnTo>
                  <a:pt x="937564" y="127457"/>
                </a:lnTo>
                <a:lnTo>
                  <a:pt x="937666" y="125895"/>
                </a:lnTo>
                <a:lnTo>
                  <a:pt x="957326" y="105740"/>
                </a:lnTo>
                <a:lnTo>
                  <a:pt x="972540" y="105740"/>
                </a:lnTo>
                <a:lnTo>
                  <a:pt x="979055" y="107899"/>
                </a:lnTo>
                <a:lnTo>
                  <a:pt x="984135" y="113665"/>
                </a:lnTo>
                <a:lnTo>
                  <a:pt x="988479" y="118694"/>
                </a:lnTo>
                <a:lnTo>
                  <a:pt x="991374" y="125895"/>
                </a:lnTo>
                <a:lnTo>
                  <a:pt x="991374" y="65468"/>
                </a:lnTo>
                <a:lnTo>
                  <a:pt x="981824" y="63195"/>
                </a:lnTo>
                <a:lnTo>
                  <a:pt x="962393" y="61849"/>
                </a:lnTo>
                <a:lnTo>
                  <a:pt x="941895" y="63461"/>
                </a:lnTo>
                <a:lnTo>
                  <a:pt x="895743" y="87033"/>
                </a:lnTo>
                <a:lnTo>
                  <a:pt x="873328" y="137020"/>
                </a:lnTo>
                <a:lnTo>
                  <a:pt x="871842" y="158991"/>
                </a:lnTo>
                <a:lnTo>
                  <a:pt x="873455" y="180733"/>
                </a:lnTo>
                <a:lnTo>
                  <a:pt x="897191" y="229501"/>
                </a:lnTo>
                <a:lnTo>
                  <a:pt x="946708" y="252463"/>
                </a:lnTo>
                <a:lnTo>
                  <a:pt x="968197" y="253961"/>
                </a:lnTo>
                <a:lnTo>
                  <a:pt x="978763" y="253822"/>
                </a:lnTo>
                <a:lnTo>
                  <a:pt x="1021613" y="247396"/>
                </a:lnTo>
                <a:lnTo>
                  <a:pt x="1036294" y="241020"/>
                </a:lnTo>
                <a:lnTo>
                  <a:pt x="1029106" y="208635"/>
                </a:lnTo>
                <a:lnTo>
                  <a:pt x="1026871" y="198564"/>
                </a:lnTo>
                <a:lnTo>
                  <a:pt x="984173" y="208394"/>
                </a:lnTo>
                <a:lnTo>
                  <a:pt x="976160" y="208635"/>
                </a:lnTo>
                <a:lnTo>
                  <a:pt x="967447" y="208102"/>
                </a:lnTo>
                <a:lnTo>
                  <a:pt x="936688" y="182702"/>
                </a:lnTo>
                <a:lnTo>
                  <a:pt x="935596" y="175539"/>
                </a:lnTo>
                <a:lnTo>
                  <a:pt x="1048600" y="175539"/>
                </a:lnTo>
                <a:lnTo>
                  <a:pt x="1048600" y="146761"/>
                </a:lnTo>
                <a:close/>
              </a:path>
            </a:pathLst>
          </a:custGeom>
          <a:solidFill>
            <a:srgbClr val="FFFFFF"/>
          </a:solidFill>
        </xdr:spPr>
        <xdr:txBody>
          <a:bodyPr wrap="square" lIns="0" tIns="0" rIns="0" bIns="0" rtlCol="0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0</xdr:rowOff>
    </xdr:from>
    <xdr:to>
      <xdr:col>10</xdr:col>
      <xdr:colOff>668432</xdr:colOff>
      <xdr:row>2</xdr:row>
      <xdr:rowOff>2614</xdr:rowOff>
    </xdr:to>
    <xdr:grpSp>
      <xdr:nvGrpSpPr>
        <xdr:cNvPr id="4" name="object 4">
          <a:extLst>
            <a:ext uri="{FF2B5EF4-FFF2-40B4-BE49-F238E27FC236}">
              <a16:creationId xmlns:a16="http://schemas.microsoft.com/office/drawing/2014/main" id="{3DCCDD0A-9008-4AEB-8D32-5E5B7A9CD47B}"/>
            </a:ext>
          </a:extLst>
        </xdr:cNvPr>
        <xdr:cNvGrpSpPr>
          <a:grpSpLocks noChangeAspect="1"/>
        </xdr:cNvGrpSpPr>
      </xdr:nvGrpSpPr>
      <xdr:grpSpPr>
        <a:xfrm>
          <a:off x="0" y="0"/>
          <a:ext cx="10050557" cy="631264"/>
          <a:chOff x="0" y="0"/>
          <a:chExt cx="12191999" cy="783830"/>
        </a:xfrm>
      </xdr:grpSpPr>
      <xdr:pic>
        <xdr:nvPicPr>
          <xdr:cNvPr id="5" name="object 5">
            <a:extLst>
              <a:ext uri="{FF2B5EF4-FFF2-40B4-BE49-F238E27FC236}">
                <a16:creationId xmlns:a16="http://schemas.microsoft.com/office/drawing/2014/main" id="{7E77F4C0-305E-1C62-0355-A3696BDC8C98}"/>
              </a:ext>
            </a:extLst>
          </xdr:cNvPr>
          <xdr:cNvPicPr/>
        </xdr:nvPicPr>
        <xdr:blipFill>
          <a:blip xmlns:r="http://schemas.openxmlformats.org/officeDocument/2006/relationships" r:embed="rId1" cstate="print"/>
          <a:stretch>
            <a:fillRect/>
          </a:stretch>
        </xdr:blipFill>
        <xdr:spPr>
          <a:xfrm>
            <a:off x="0" y="0"/>
            <a:ext cx="12191999" cy="783830"/>
          </a:xfrm>
          <a:prstGeom prst="rect">
            <a:avLst/>
          </a:prstGeom>
        </xdr:spPr>
      </xdr:pic>
      <xdr:pic>
        <xdr:nvPicPr>
          <xdr:cNvPr id="6" name="object 6">
            <a:extLst>
              <a:ext uri="{FF2B5EF4-FFF2-40B4-BE49-F238E27FC236}">
                <a16:creationId xmlns:a16="http://schemas.microsoft.com/office/drawing/2014/main" id="{CBA76010-A3F2-8F5D-BD53-19C831AD78AD}"/>
              </a:ext>
            </a:extLst>
          </xdr:cNvPr>
          <xdr:cNvPicPr/>
        </xdr:nvPicPr>
        <xdr:blipFill>
          <a:blip xmlns:r="http://schemas.openxmlformats.org/officeDocument/2006/relationships" r:embed="rId2" cstate="print"/>
          <a:stretch>
            <a:fillRect/>
          </a:stretch>
        </xdr:blipFill>
        <xdr:spPr>
          <a:xfrm>
            <a:off x="10431602" y="325336"/>
            <a:ext cx="1106233" cy="188962"/>
          </a:xfrm>
          <a:prstGeom prst="rect">
            <a:avLst/>
          </a:prstGeom>
        </xdr:spPr>
      </xdr:pic>
      <xdr:sp macro="" textlink="">
        <xdr:nvSpPr>
          <xdr:cNvPr id="7" name="object 7">
            <a:extLst>
              <a:ext uri="{FF2B5EF4-FFF2-40B4-BE49-F238E27FC236}">
                <a16:creationId xmlns:a16="http://schemas.microsoft.com/office/drawing/2014/main" id="{1962C2FC-F04D-49A2-228D-65F0D4A26141}"/>
              </a:ext>
            </a:extLst>
          </xdr:cNvPr>
          <xdr:cNvSpPr/>
        </xdr:nvSpPr>
        <xdr:spPr>
          <a:xfrm>
            <a:off x="1863631" y="494630"/>
            <a:ext cx="73660" cy="72390"/>
          </a:xfrm>
          <a:custGeom>
            <a:avLst/>
            <a:gdLst/>
            <a:ahLst/>
            <a:cxnLst/>
            <a:rect l="l" t="t" r="r" b="b"/>
            <a:pathLst>
              <a:path w="73660" h="72390">
                <a:moveTo>
                  <a:pt x="36550" y="0"/>
                </a:moveTo>
                <a:lnTo>
                  <a:pt x="22326" y="2844"/>
                </a:lnTo>
                <a:lnTo>
                  <a:pt x="10706" y="10591"/>
                </a:lnTo>
                <a:lnTo>
                  <a:pt x="2870" y="22098"/>
                </a:lnTo>
                <a:lnTo>
                  <a:pt x="0" y="36182"/>
                </a:lnTo>
                <a:lnTo>
                  <a:pt x="2870" y="50266"/>
                </a:lnTo>
                <a:lnTo>
                  <a:pt x="10706" y="61772"/>
                </a:lnTo>
                <a:lnTo>
                  <a:pt x="22326" y="69519"/>
                </a:lnTo>
                <a:lnTo>
                  <a:pt x="36550" y="72364"/>
                </a:lnTo>
                <a:lnTo>
                  <a:pt x="50774" y="69519"/>
                </a:lnTo>
                <a:lnTo>
                  <a:pt x="62395" y="61772"/>
                </a:lnTo>
                <a:lnTo>
                  <a:pt x="70231" y="50266"/>
                </a:lnTo>
                <a:lnTo>
                  <a:pt x="73101" y="36182"/>
                </a:lnTo>
                <a:lnTo>
                  <a:pt x="70231" y="22098"/>
                </a:lnTo>
                <a:lnTo>
                  <a:pt x="62395" y="10591"/>
                </a:lnTo>
                <a:lnTo>
                  <a:pt x="50774" y="2844"/>
                </a:lnTo>
                <a:lnTo>
                  <a:pt x="36550" y="0"/>
                </a:lnTo>
                <a:close/>
              </a:path>
            </a:pathLst>
          </a:custGeom>
          <a:solidFill>
            <a:srgbClr val="C1DE54"/>
          </a:solidFill>
        </xdr:spPr>
        <xdr:txBody>
          <a:bodyPr wrap="square" lIns="0" tIns="0" rIns="0" bIns="0" rtlCol="0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/>
          </a:p>
        </xdr:txBody>
      </xdr:sp>
      <xdr:sp macro="" textlink="">
        <xdr:nvSpPr>
          <xdr:cNvPr id="8" name="object 8">
            <a:extLst>
              <a:ext uri="{FF2B5EF4-FFF2-40B4-BE49-F238E27FC236}">
                <a16:creationId xmlns:a16="http://schemas.microsoft.com/office/drawing/2014/main" id="{4CDB6B78-03B8-5D5E-BE57-045768420237}"/>
              </a:ext>
            </a:extLst>
          </xdr:cNvPr>
          <xdr:cNvSpPr/>
        </xdr:nvSpPr>
        <xdr:spPr>
          <a:xfrm>
            <a:off x="574459" y="311721"/>
            <a:ext cx="488315" cy="251460"/>
          </a:xfrm>
          <a:custGeom>
            <a:avLst/>
            <a:gdLst/>
            <a:ahLst/>
            <a:cxnLst/>
            <a:rect l="l" t="t" r="r" b="b"/>
            <a:pathLst>
              <a:path w="488315" h="251459">
                <a:moveTo>
                  <a:pt x="207327" y="120929"/>
                </a:moveTo>
                <a:lnTo>
                  <a:pt x="199288" y="70129"/>
                </a:lnTo>
                <a:lnTo>
                  <a:pt x="175539" y="32308"/>
                </a:lnTo>
                <a:lnTo>
                  <a:pt x="138696" y="10261"/>
                </a:lnTo>
                <a:lnTo>
                  <a:pt x="138696" y="123812"/>
                </a:lnTo>
                <a:lnTo>
                  <a:pt x="137871" y="140970"/>
                </a:lnTo>
                <a:lnTo>
                  <a:pt x="124968" y="177850"/>
                </a:lnTo>
                <a:lnTo>
                  <a:pt x="80187" y="195859"/>
                </a:lnTo>
                <a:lnTo>
                  <a:pt x="65735" y="195859"/>
                </a:lnTo>
                <a:lnTo>
                  <a:pt x="65735" y="56083"/>
                </a:lnTo>
                <a:lnTo>
                  <a:pt x="85242" y="56083"/>
                </a:lnTo>
                <a:lnTo>
                  <a:pt x="125691" y="72656"/>
                </a:lnTo>
                <a:lnTo>
                  <a:pt x="138696" y="123812"/>
                </a:lnTo>
                <a:lnTo>
                  <a:pt x="138696" y="10261"/>
                </a:lnTo>
                <a:lnTo>
                  <a:pt x="136525" y="9258"/>
                </a:lnTo>
                <a:lnTo>
                  <a:pt x="112141" y="3340"/>
                </a:lnTo>
                <a:lnTo>
                  <a:pt x="84518" y="1333"/>
                </a:lnTo>
                <a:lnTo>
                  <a:pt x="0" y="1333"/>
                </a:lnTo>
                <a:lnTo>
                  <a:pt x="0" y="251333"/>
                </a:lnTo>
                <a:lnTo>
                  <a:pt x="78740" y="251333"/>
                </a:lnTo>
                <a:lnTo>
                  <a:pt x="132816" y="242785"/>
                </a:lnTo>
                <a:lnTo>
                  <a:pt x="173380" y="217474"/>
                </a:lnTo>
                <a:lnTo>
                  <a:pt x="198742" y="176491"/>
                </a:lnTo>
                <a:lnTo>
                  <a:pt x="205168" y="150495"/>
                </a:lnTo>
                <a:lnTo>
                  <a:pt x="207327" y="120929"/>
                </a:lnTo>
                <a:close/>
              </a:path>
              <a:path w="488315" h="251459">
                <a:moveTo>
                  <a:pt x="487768" y="0"/>
                </a:moveTo>
                <a:lnTo>
                  <a:pt x="425297" y="0"/>
                </a:lnTo>
                <a:lnTo>
                  <a:pt x="425297" y="251320"/>
                </a:lnTo>
                <a:lnTo>
                  <a:pt x="487768" y="251320"/>
                </a:lnTo>
                <a:lnTo>
                  <a:pt x="487768" y="0"/>
                </a:lnTo>
                <a:close/>
              </a:path>
            </a:pathLst>
          </a:custGeom>
          <a:solidFill>
            <a:srgbClr val="FFFFFF"/>
          </a:solidFill>
        </xdr:spPr>
        <xdr:txBody>
          <a:bodyPr wrap="square" lIns="0" tIns="0" rIns="0" bIns="0" rtlCol="0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/>
          </a:p>
        </xdr:txBody>
      </xdr:sp>
      <xdr:pic>
        <xdr:nvPicPr>
          <xdr:cNvPr id="9" name="object 9">
            <a:extLst>
              <a:ext uri="{FF2B5EF4-FFF2-40B4-BE49-F238E27FC236}">
                <a16:creationId xmlns:a16="http://schemas.microsoft.com/office/drawing/2014/main" id="{1E2C50C8-2669-41E9-62D2-44A874B62645}"/>
              </a:ext>
            </a:extLst>
          </xdr:cNvPr>
          <xdr:cNvPicPr/>
        </xdr:nvPicPr>
        <xdr:blipFill>
          <a:blip xmlns:r="http://schemas.openxmlformats.org/officeDocument/2006/relationships" r:embed="rId3" cstate="print"/>
          <a:stretch>
            <a:fillRect/>
          </a:stretch>
        </xdr:blipFill>
        <xdr:spPr>
          <a:xfrm>
            <a:off x="1087475" y="373583"/>
            <a:ext cx="180743" cy="192100"/>
          </a:xfrm>
          <a:prstGeom prst="rect">
            <a:avLst/>
          </a:prstGeom>
        </xdr:spPr>
      </xdr:pic>
      <xdr:sp macro="" textlink="">
        <xdr:nvSpPr>
          <xdr:cNvPr id="10" name="object 10">
            <a:extLst>
              <a:ext uri="{FF2B5EF4-FFF2-40B4-BE49-F238E27FC236}">
                <a16:creationId xmlns:a16="http://schemas.microsoft.com/office/drawing/2014/main" id="{BD0AFB03-1256-670D-D05E-09F1203AC2F6}"/>
              </a:ext>
            </a:extLst>
          </xdr:cNvPr>
          <xdr:cNvSpPr/>
        </xdr:nvSpPr>
        <xdr:spPr>
          <a:xfrm>
            <a:off x="800392" y="311721"/>
            <a:ext cx="1049020" cy="254000"/>
          </a:xfrm>
          <a:custGeom>
            <a:avLst/>
            <a:gdLst/>
            <a:ahLst/>
            <a:cxnLst/>
            <a:rect l="l" t="t" r="r" b="b"/>
            <a:pathLst>
              <a:path w="1049020" h="254000">
                <a:moveTo>
                  <a:pt x="175425" y="146761"/>
                </a:moveTo>
                <a:lnTo>
                  <a:pt x="174739" y="137020"/>
                </a:lnTo>
                <a:lnTo>
                  <a:pt x="174612" y="135242"/>
                </a:lnTo>
                <a:lnTo>
                  <a:pt x="174066" y="127457"/>
                </a:lnTo>
                <a:lnTo>
                  <a:pt x="153047" y="83439"/>
                </a:lnTo>
                <a:lnTo>
                  <a:pt x="118389" y="65468"/>
                </a:lnTo>
                <a:lnTo>
                  <a:pt x="118389" y="125895"/>
                </a:lnTo>
                <a:lnTo>
                  <a:pt x="118389" y="135242"/>
                </a:lnTo>
                <a:lnTo>
                  <a:pt x="64249" y="135242"/>
                </a:lnTo>
                <a:lnTo>
                  <a:pt x="65697" y="124447"/>
                </a:lnTo>
                <a:lnTo>
                  <a:pt x="68580" y="117259"/>
                </a:lnTo>
                <a:lnTo>
                  <a:pt x="77965" y="107899"/>
                </a:lnTo>
                <a:lnTo>
                  <a:pt x="84467" y="105740"/>
                </a:lnTo>
                <a:lnTo>
                  <a:pt x="99618" y="105740"/>
                </a:lnTo>
                <a:lnTo>
                  <a:pt x="106121" y="107899"/>
                </a:lnTo>
                <a:lnTo>
                  <a:pt x="111175" y="113665"/>
                </a:lnTo>
                <a:lnTo>
                  <a:pt x="115506" y="118694"/>
                </a:lnTo>
                <a:lnTo>
                  <a:pt x="118389" y="125895"/>
                </a:lnTo>
                <a:lnTo>
                  <a:pt x="118389" y="65468"/>
                </a:lnTo>
                <a:lnTo>
                  <a:pt x="108889" y="63195"/>
                </a:lnTo>
                <a:lnTo>
                  <a:pt x="89522" y="61849"/>
                </a:lnTo>
                <a:lnTo>
                  <a:pt x="69088" y="63461"/>
                </a:lnTo>
                <a:lnTo>
                  <a:pt x="23101" y="87033"/>
                </a:lnTo>
                <a:lnTo>
                  <a:pt x="1371" y="137020"/>
                </a:lnTo>
                <a:lnTo>
                  <a:pt x="0" y="158991"/>
                </a:lnTo>
                <a:lnTo>
                  <a:pt x="1511" y="180733"/>
                </a:lnTo>
                <a:lnTo>
                  <a:pt x="25260" y="229501"/>
                </a:lnTo>
                <a:lnTo>
                  <a:pt x="73888" y="252463"/>
                </a:lnTo>
                <a:lnTo>
                  <a:pt x="95288" y="253961"/>
                </a:lnTo>
                <a:lnTo>
                  <a:pt x="106133" y="253822"/>
                </a:lnTo>
                <a:lnTo>
                  <a:pt x="148628" y="247396"/>
                </a:lnTo>
                <a:lnTo>
                  <a:pt x="163880" y="241020"/>
                </a:lnTo>
                <a:lnTo>
                  <a:pt x="156159" y="208635"/>
                </a:lnTo>
                <a:lnTo>
                  <a:pt x="153771" y="198564"/>
                </a:lnTo>
                <a:lnTo>
                  <a:pt x="111226" y="208394"/>
                </a:lnTo>
                <a:lnTo>
                  <a:pt x="103238" y="208635"/>
                </a:lnTo>
                <a:lnTo>
                  <a:pt x="94564" y="208102"/>
                </a:lnTo>
                <a:lnTo>
                  <a:pt x="64198" y="182702"/>
                </a:lnTo>
                <a:lnTo>
                  <a:pt x="63525" y="175539"/>
                </a:lnTo>
                <a:lnTo>
                  <a:pt x="175425" y="175539"/>
                </a:lnTo>
                <a:lnTo>
                  <a:pt x="175425" y="146761"/>
                </a:lnTo>
                <a:close/>
              </a:path>
              <a:path w="1049020" h="254000">
                <a:moveTo>
                  <a:pt x="555548" y="64477"/>
                </a:moveTo>
                <a:lnTo>
                  <a:pt x="493077" y="64477"/>
                </a:lnTo>
                <a:lnTo>
                  <a:pt x="493077" y="251320"/>
                </a:lnTo>
                <a:lnTo>
                  <a:pt x="555548" y="251320"/>
                </a:lnTo>
                <a:lnTo>
                  <a:pt x="555548" y="64477"/>
                </a:lnTo>
                <a:close/>
              </a:path>
              <a:path w="1049020" h="254000">
                <a:moveTo>
                  <a:pt x="555548" y="0"/>
                </a:moveTo>
                <a:lnTo>
                  <a:pt x="493077" y="0"/>
                </a:lnTo>
                <a:lnTo>
                  <a:pt x="493077" y="42100"/>
                </a:lnTo>
                <a:lnTo>
                  <a:pt x="555548" y="42100"/>
                </a:lnTo>
                <a:lnTo>
                  <a:pt x="555548" y="0"/>
                </a:lnTo>
                <a:close/>
              </a:path>
              <a:path w="1049020" h="254000">
                <a:moveTo>
                  <a:pt x="713689" y="196862"/>
                </a:moveTo>
                <a:lnTo>
                  <a:pt x="704875" y="199707"/>
                </a:lnTo>
                <a:lnTo>
                  <a:pt x="696887" y="201739"/>
                </a:lnTo>
                <a:lnTo>
                  <a:pt x="689711" y="202958"/>
                </a:lnTo>
                <a:lnTo>
                  <a:pt x="683348" y="203365"/>
                </a:lnTo>
                <a:lnTo>
                  <a:pt x="671791" y="203365"/>
                </a:lnTo>
                <a:lnTo>
                  <a:pt x="666013" y="197586"/>
                </a:lnTo>
                <a:lnTo>
                  <a:pt x="666013" y="112268"/>
                </a:lnTo>
                <a:lnTo>
                  <a:pt x="706462" y="112268"/>
                </a:lnTo>
                <a:lnTo>
                  <a:pt x="706462" y="63842"/>
                </a:lnTo>
                <a:lnTo>
                  <a:pt x="666013" y="63842"/>
                </a:lnTo>
                <a:lnTo>
                  <a:pt x="666013" y="5283"/>
                </a:lnTo>
                <a:lnTo>
                  <a:pt x="602449" y="16840"/>
                </a:lnTo>
                <a:lnTo>
                  <a:pt x="602449" y="63842"/>
                </a:lnTo>
                <a:lnTo>
                  <a:pt x="580783" y="63842"/>
                </a:lnTo>
                <a:lnTo>
                  <a:pt x="580783" y="112268"/>
                </a:lnTo>
                <a:lnTo>
                  <a:pt x="602449" y="112268"/>
                </a:lnTo>
                <a:lnTo>
                  <a:pt x="602449" y="189623"/>
                </a:lnTo>
                <a:lnTo>
                  <a:pt x="603377" y="204914"/>
                </a:lnTo>
                <a:lnTo>
                  <a:pt x="625017" y="245122"/>
                </a:lnTo>
                <a:lnTo>
                  <a:pt x="662406" y="253974"/>
                </a:lnTo>
                <a:lnTo>
                  <a:pt x="669823" y="253834"/>
                </a:lnTo>
                <a:lnTo>
                  <a:pt x="713689" y="243852"/>
                </a:lnTo>
                <a:lnTo>
                  <a:pt x="713689" y="196862"/>
                </a:lnTo>
                <a:close/>
              </a:path>
              <a:path w="1049020" h="254000">
                <a:moveTo>
                  <a:pt x="858558" y="196862"/>
                </a:moveTo>
                <a:lnTo>
                  <a:pt x="850163" y="199707"/>
                </a:lnTo>
                <a:lnTo>
                  <a:pt x="842302" y="201739"/>
                </a:lnTo>
                <a:lnTo>
                  <a:pt x="834986" y="202958"/>
                </a:lnTo>
                <a:lnTo>
                  <a:pt x="828217" y="203365"/>
                </a:lnTo>
                <a:lnTo>
                  <a:pt x="817384" y="203365"/>
                </a:lnTo>
                <a:lnTo>
                  <a:pt x="811606" y="197586"/>
                </a:lnTo>
                <a:lnTo>
                  <a:pt x="811606" y="112268"/>
                </a:lnTo>
                <a:lnTo>
                  <a:pt x="851331" y="112268"/>
                </a:lnTo>
                <a:lnTo>
                  <a:pt x="851331" y="63842"/>
                </a:lnTo>
                <a:lnTo>
                  <a:pt x="811606" y="63842"/>
                </a:lnTo>
                <a:lnTo>
                  <a:pt x="811606" y="5283"/>
                </a:lnTo>
                <a:lnTo>
                  <a:pt x="748042" y="16129"/>
                </a:lnTo>
                <a:lnTo>
                  <a:pt x="748042" y="63842"/>
                </a:lnTo>
                <a:lnTo>
                  <a:pt x="725652" y="63842"/>
                </a:lnTo>
                <a:lnTo>
                  <a:pt x="725652" y="112268"/>
                </a:lnTo>
                <a:lnTo>
                  <a:pt x="748042" y="112268"/>
                </a:lnTo>
                <a:lnTo>
                  <a:pt x="748042" y="189623"/>
                </a:lnTo>
                <a:lnTo>
                  <a:pt x="748868" y="204914"/>
                </a:lnTo>
                <a:lnTo>
                  <a:pt x="769912" y="245122"/>
                </a:lnTo>
                <a:lnTo>
                  <a:pt x="807999" y="253974"/>
                </a:lnTo>
                <a:lnTo>
                  <a:pt x="815327" y="253834"/>
                </a:lnTo>
                <a:lnTo>
                  <a:pt x="858558" y="243852"/>
                </a:lnTo>
                <a:lnTo>
                  <a:pt x="858558" y="196862"/>
                </a:lnTo>
                <a:close/>
              </a:path>
              <a:path w="1049020" h="254000">
                <a:moveTo>
                  <a:pt x="1048600" y="146761"/>
                </a:moveTo>
                <a:lnTo>
                  <a:pt x="1013637" y="74002"/>
                </a:lnTo>
                <a:lnTo>
                  <a:pt x="991374" y="65468"/>
                </a:lnTo>
                <a:lnTo>
                  <a:pt x="991374" y="125895"/>
                </a:lnTo>
                <a:lnTo>
                  <a:pt x="991374" y="135242"/>
                </a:lnTo>
                <a:lnTo>
                  <a:pt x="937044" y="135242"/>
                </a:lnTo>
                <a:lnTo>
                  <a:pt x="937564" y="127457"/>
                </a:lnTo>
                <a:lnTo>
                  <a:pt x="937666" y="125895"/>
                </a:lnTo>
                <a:lnTo>
                  <a:pt x="957326" y="105740"/>
                </a:lnTo>
                <a:lnTo>
                  <a:pt x="972540" y="105740"/>
                </a:lnTo>
                <a:lnTo>
                  <a:pt x="979055" y="107899"/>
                </a:lnTo>
                <a:lnTo>
                  <a:pt x="984135" y="113665"/>
                </a:lnTo>
                <a:lnTo>
                  <a:pt x="988479" y="118694"/>
                </a:lnTo>
                <a:lnTo>
                  <a:pt x="991374" y="125895"/>
                </a:lnTo>
                <a:lnTo>
                  <a:pt x="991374" y="65468"/>
                </a:lnTo>
                <a:lnTo>
                  <a:pt x="981824" y="63195"/>
                </a:lnTo>
                <a:lnTo>
                  <a:pt x="962393" y="61849"/>
                </a:lnTo>
                <a:lnTo>
                  <a:pt x="941895" y="63461"/>
                </a:lnTo>
                <a:lnTo>
                  <a:pt x="895743" y="87033"/>
                </a:lnTo>
                <a:lnTo>
                  <a:pt x="873328" y="137020"/>
                </a:lnTo>
                <a:lnTo>
                  <a:pt x="871842" y="158991"/>
                </a:lnTo>
                <a:lnTo>
                  <a:pt x="873455" y="180733"/>
                </a:lnTo>
                <a:lnTo>
                  <a:pt x="897191" y="229501"/>
                </a:lnTo>
                <a:lnTo>
                  <a:pt x="946708" y="252463"/>
                </a:lnTo>
                <a:lnTo>
                  <a:pt x="968197" y="253961"/>
                </a:lnTo>
                <a:lnTo>
                  <a:pt x="978763" y="253822"/>
                </a:lnTo>
                <a:lnTo>
                  <a:pt x="1021613" y="247396"/>
                </a:lnTo>
                <a:lnTo>
                  <a:pt x="1036294" y="241020"/>
                </a:lnTo>
                <a:lnTo>
                  <a:pt x="1029106" y="208635"/>
                </a:lnTo>
                <a:lnTo>
                  <a:pt x="1026871" y="198564"/>
                </a:lnTo>
                <a:lnTo>
                  <a:pt x="984173" y="208394"/>
                </a:lnTo>
                <a:lnTo>
                  <a:pt x="976160" y="208635"/>
                </a:lnTo>
                <a:lnTo>
                  <a:pt x="967447" y="208102"/>
                </a:lnTo>
                <a:lnTo>
                  <a:pt x="936688" y="182702"/>
                </a:lnTo>
                <a:lnTo>
                  <a:pt x="935596" y="175539"/>
                </a:lnTo>
                <a:lnTo>
                  <a:pt x="1048600" y="175539"/>
                </a:lnTo>
                <a:lnTo>
                  <a:pt x="1048600" y="146761"/>
                </a:lnTo>
                <a:close/>
              </a:path>
            </a:pathLst>
          </a:custGeom>
          <a:solidFill>
            <a:srgbClr val="FFFFFF"/>
          </a:solidFill>
        </xdr:spPr>
        <xdr:txBody>
          <a:bodyPr wrap="square" lIns="0" tIns="0" rIns="0" bIns="0" rtlCol="0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/>
          </a:p>
        </xdr:txBody>
      </xdr:sp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0</xdr:rowOff>
    </xdr:from>
    <xdr:to>
      <xdr:col>6</xdr:col>
      <xdr:colOff>1837205</xdr:colOff>
      <xdr:row>2</xdr:row>
      <xdr:rowOff>2614</xdr:rowOff>
    </xdr:to>
    <xdr:grpSp>
      <xdr:nvGrpSpPr>
        <xdr:cNvPr id="2" name="object 4">
          <a:extLst>
            <a:ext uri="{FF2B5EF4-FFF2-40B4-BE49-F238E27FC236}">
              <a16:creationId xmlns:a16="http://schemas.microsoft.com/office/drawing/2014/main" id="{3553A51C-098F-4784-8DB0-3F5DC325B256}"/>
            </a:ext>
          </a:extLst>
        </xdr:cNvPr>
        <xdr:cNvGrpSpPr>
          <a:grpSpLocks noChangeAspect="1"/>
        </xdr:cNvGrpSpPr>
      </xdr:nvGrpSpPr>
      <xdr:grpSpPr>
        <a:xfrm>
          <a:off x="0" y="0"/>
          <a:ext cx="10095380" cy="631264"/>
          <a:chOff x="0" y="0"/>
          <a:chExt cx="12191999" cy="783830"/>
        </a:xfrm>
      </xdr:grpSpPr>
      <xdr:pic>
        <xdr:nvPicPr>
          <xdr:cNvPr id="4" name="object 5">
            <a:extLst>
              <a:ext uri="{FF2B5EF4-FFF2-40B4-BE49-F238E27FC236}">
                <a16:creationId xmlns:a16="http://schemas.microsoft.com/office/drawing/2014/main" id="{5717A92D-6344-4347-4B40-C7780C513DD5}"/>
              </a:ext>
            </a:extLst>
          </xdr:cNvPr>
          <xdr:cNvPicPr/>
        </xdr:nvPicPr>
        <xdr:blipFill>
          <a:blip xmlns:r="http://schemas.openxmlformats.org/officeDocument/2006/relationships" r:embed="rId1" cstate="print"/>
          <a:stretch>
            <a:fillRect/>
          </a:stretch>
        </xdr:blipFill>
        <xdr:spPr>
          <a:xfrm>
            <a:off x="0" y="0"/>
            <a:ext cx="12191999" cy="783830"/>
          </a:xfrm>
          <a:prstGeom prst="rect">
            <a:avLst/>
          </a:prstGeom>
        </xdr:spPr>
      </xdr:pic>
      <xdr:pic>
        <xdr:nvPicPr>
          <xdr:cNvPr id="5" name="object 6">
            <a:extLst>
              <a:ext uri="{FF2B5EF4-FFF2-40B4-BE49-F238E27FC236}">
                <a16:creationId xmlns:a16="http://schemas.microsoft.com/office/drawing/2014/main" id="{88255D21-9897-EC70-B0BC-8557069C360D}"/>
              </a:ext>
            </a:extLst>
          </xdr:cNvPr>
          <xdr:cNvPicPr/>
        </xdr:nvPicPr>
        <xdr:blipFill>
          <a:blip xmlns:r="http://schemas.openxmlformats.org/officeDocument/2006/relationships" r:embed="rId2" cstate="print"/>
          <a:stretch>
            <a:fillRect/>
          </a:stretch>
        </xdr:blipFill>
        <xdr:spPr>
          <a:xfrm>
            <a:off x="10431602" y="325336"/>
            <a:ext cx="1106233" cy="188962"/>
          </a:xfrm>
          <a:prstGeom prst="rect">
            <a:avLst/>
          </a:prstGeom>
        </xdr:spPr>
      </xdr:pic>
      <xdr:sp macro="" textlink="">
        <xdr:nvSpPr>
          <xdr:cNvPr id="6" name="object 7">
            <a:extLst>
              <a:ext uri="{FF2B5EF4-FFF2-40B4-BE49-F238E27FC236}">
                <a16:creationId xmlns:a16="http://schemas.microsoft.com/office/drawing/2014/main" id="{F4706C97-4F9B-3004-D78B-3B9D48BDE5F2}"/>
              </a:ext>
            </a:extLst>
          </xdr:cNvPr>
          <xdr:cNvSpPr/>
        </xdr:nvSpPr>
        <xdr:spPr>
          <a:xfrm>
            <a:off x="1863631" y="494630"/>
            <a:ext cx="73660" cy="72390"/>
          </a:xfrm>
          <a:custGeom>
            <a:avLst/>
            <a:gdLst/>
            <a:ahLst/>
            <a:cxnLst/>
            <a:rect l="l" t="t" r="r" b="b"/>
            <a:pathLst>
              <a:path w="73660" h="72390">
                <a:moveTo>
                  <a:pt x="36550" y="0"/>
                </a:moveTo>
                <a:lnTo>
                  <a:pt x="22326" y="2844"/>
                </a:lnTo>
                <a:lnTo>
                  <a:pt x="10706" y="10591"/>
                </a:lnTo>
                <a:lnTo>
                  <a:pt x="2870" y="22098"/>
                </a:lnTo>
                <a:lnTo>
                  <a:pt x="0" y="36182"/>
                </a:lnTo>
                <a:lnTo>
                  <a:pt x="2870" y="50266"/>
                </a:lnTo>
                <a:lnTo>
                  <a:pt x="10706" y="61772"/>
                </a:lnTo>
                <a:lnTo>
                  <a:pt x="22326" y="69519"/>
                </a:lnTo>
                <a:lnTo>
                  <a:pt x="36550" y="72364"/>
                </a:lnTo>
                <a:lnTo>
                  <a:pt x="50774" y="69519"/>
                </a:lnTo>
                <a:lnTo>
                  <a:pt x="62395" y="61772"/>
                </a:lnTo>
                <a:lnTo>
                  <a:pt x="70231" y="50266"/>
                </a:lnTo>
                <a:lnTo>
                  <a:pt x="73101" y="36182"/>
                </a:lnTo>
                <a:lnTo>
                  <a:pt x="70231" y="22098"/>
                </a:lnTo>
                <a:lnTo>
                  <a:pt x="62395" y="10591"/>
                </a:lnTo>
                <a:lnTo>
                  <a:pt x="50774" y="2844"/>
                </a:lnTo>
                <a:lnTo>
                  <a:pt x="36550" y="0"/>
                </a:lnTo>
                <a:close/>
              </a:path>
            </a:pathLst>
          </a:custGeom>
          <a:solidFill>
            <a:srgbClr val="C1DE54"/>
          </a:solidFill>
        </xdr:spPr>
        <xdr:txBody>
          <a:bodyPr wrap="square" lIns="0" tIns="0" rIns="0" bIns="0" rtlCol="0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/>
          </a:p>
        </xdr:txBody>
      </xdr:sp>
      <xdr:sp macro="" textlink="">
        <xdr:nvSpPr>
          <xdr:cNvPr id="7" name="object 8">
            <a:extLst>
              <a:ext uri="{FF2B5EF4-FFF2-40B4-BE49-F238E27FC236}">
                <a16:creationId xmlns:a16="http://schemas.microsoft.com/office/drawing/2014/main" id="{126614DF-5ABA-8B7C-BEF2-3C88A2793E33}"/>
              </a:ext>
            </a:extLst>
          </xdr:cNvPr>
          <xdr:cNvSpPr/>
        </xdr:nvSpPr>
        <xdr:spPr>
          <a:xfrm>
            <a:off x="574459" y="311721"/>
            <a:ext cx="488315" cy="251460"/>
          </a:xfrm>
          <a:custGeom>
            <a:avLst/>
            <a:gdLst/>
            <a:ahLst/>
            <a:cxnLst/>
            <a:rect l="l" t="t" r="r" b="b"/>
            <a:pathLst>
              <a:path w="488315" h="251459">
                <a:moveTo>
                  <a:pt x="207327" y="120929"/>
                </a:moveTo>
                <a:lnTo>
                  <a:pt x="199288" y="70129"/>
                </a:lnTo>
                <a:lnTo>
                  <a:pt x="175539" y="32308"/>
                </a:lnTo>
                <a:lnTo>
                  <a:pt x="138696" y="10261"/>
                </a:lnTo>
                <a:lnTo>
                  <a:pt x="138696" y="123812"/>
                </a:lnTo>
                <a:lnTo>
                  <a:pt x="137871" y="140970"/>
                </a:lnTo>
                <a:lnTo>
                  <a:pt x="124968" y="177850"/>
                </a:lnTo>
                <a:lnTo>
                  <a:pt x="80187" y="195859"/>
                </a:lnTo>
                <a:lnTo>
                  <a:pt x="65735" y="195859"/>
                </a:lnTo>
                <a:lnTo>
                  <a:pt x="65735" y="56083"/>
                </a:lnTo>
                <a:lnTo>
                  <a:pt x="85242" y="56083"/>
                </a:lnTo>
                <a:lnTo>
                  <a:pt x="125691" y="72656"/>
                </a:lnTo>
                <a:lnTo>
                  <a:pt x="138696" y="123812"/>
                </a:lnTo>
                <a:lnTo>
                  <a:pt x="138696" y="10261"/>
                </a:lnTo>
                <a:lnTo>
                  <a:pt x="136525" y="9258"/>
                </a:lnTo>
                <a:lnTo>
                  <a:pt x="112141" y="3340"/>
                </a:lnTo>
                <a:lnTo>
                  <a:pt x="84518" y="1333"/>
                </a:lnTo>
                <a:lnTo>
                  <a:pt x="0" y="1333"/>
                </a:lnTo>
                <a:lnTo>
                  <a:pt x="0" y="251333"/>
                </a:lnTo>
                <a:lnTo>
                  <a:pt x="78740" y="251333"/>
                </a:lnTo>
                <a:lnTo>
                  <a:pt x="132816" y="242785"/>
                </a:lnTo>
                <a:lnTo>
                  <a:pt x="173380" y="217474"/>
                </a:lnTo>
                <a:lnTo>
                  <a:pt x="198742" y="176491"/>
                </a:lnTo>
                <a:lnTo>
                  <a:pt x="205168" y="150495"/>
                </a:lnTo>
                <a:lnTo>
                  <a:pt x="207327" y="120929"/>
                </a:lnTo>
                <a:close/>
              </a:path>
              <a:path w="488315" h="251459">
                <a:moveTo>
                  <a:pt x="487768" y="0"/>
                </a:moveTo>
                <a:lnTo>
                  <a:pt x="425297" y="0"/>
                </a:lnTo>
                <a:lnTo>
                  <a:pt x="425297" y="251320"/>
                </a:lnTo>
                <a:lnTo>
                  <a:pt x="487768" y="251320"/>
                </a:lnTo>
                <a:lnTo>
                  <a:pt x="487768" y="0"/>
                </a:lnTo>
                <a:close/>
              </a:path>
            </a:pathLst>
          </a:custGeom>
          <a:solidFill>
            <a:srgbClr val="FFFFFF"/>
          </a:solidFill>
        </xdr:spPr>
        <xdr:txBody>
          <a:bodyPr wrap="square" lIns="0" tIns="0" rIns="0" bIns="0" rtlCol="0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/>
          </a:p>
        </xdr:txBody>
      </xdr:sp>
      <xdr:pic>
        <xdr:nvPicPr>
          <xdr:cNvPr id="8" name="object 9">
            <a:extLst>
              <a:ext uri="{FF2B5EF4-FFF2-40B4-BE49-F238E27FC236}">
                <a16:creationId xmlns:a16="http://schemas.microsoft.com/office/drawing/2014/main" id="{E1DBADEA-AEE4-94A3-B2F8-EC267A8E207E}"/>
              </a:ext>
            </a:extLst>
          </xdr:cNvPr>
          <xdr:cNvPicPr/>
        </xdr:nvPicPr>
        <xdr:blipFill>
          <a:blip xmlns:r="http://schemas.openxmlformats.org/officeDocument/2006/relationships" r:embed="rId3" cstate="print"/>
          <a:stretch>
            <a:fillRect/>
          </a:stretch>
        </xdr:blipFill>
        <xdr:spPr>
          <a:xfrm>
            <a:off x="1087475" y="373583"/>
            <a:ext cx="180743" cy="192100"/>
          </a:xfrm>
          <a:prstGeom prst="rect">
            <a:avLst/>
          </a:prstGeom>
        </xdr:spPr>
      </xdr:pic>
      <xdr:sp macro="" textlink="">
        <xdr:nvSpPr>
          <xdr:cNvPr id="9" name="object 10">
            <a:extLst>
              <a:ext uri="{FF2B5EF4-FFF2-40B4-BE49-F238E27FC236}">
                <a16:creationId xmlns:a16="http://schemas.microsoft.com/office/drawing/2014/main" id="{2ED3BAFB-B0A2-8512-B86B-836583F0B1B4}"/>
              </a:ext>
            </a:extLst>
          </xdr:cNvPr>
          <xdr:cNvSpPr/>
        </xdr:nvSpPr>
        <xdr:spPr>
          <a:xfrm>
            <a:off x="800392" y="311721"/>
            <a:ext cx="1049020" cy="254000"/>
          </a:xfrm>
          <a:custGeom>
            <a:avLst/>
            <a:gdLst/>
            <a:ahLst/>
            <a:cxnLst/>
            <a:rect l="l" t="t" r="r" b="b"/>
            <a:pathLst>
              <a:path w="1049020" h="254000">
                <a:moveTo>
                  <a:pt x="175425" y="146761"/>
                </a:moveTo>
                <a:lnTo>
                  <a:pt x="174739" y="137020"/>
                </a:lnTo>
                <a:lnTo>
                  <a:pt x="174612" y="135242"/>
                </a:lnTo>
                <a:lnTo>
                  <a:pt x="174066" y="127457"/>
                </a:lnTo>
                <a:lnTo>
                  <a:pt x="153047" y="83439"/>
                </a:lnTo>
                <a:lnTo>
                  <a:pt x="118389" y="65468"/>
                </a:lnTo>
                <a:lnTo>
                  <a:pt x="118389" y="125895"/>
                </a:lnTo>
                <a:lnTo>
                  <a:pt x="118389" y="135242"/>
                </a:lnTo>
                <a:lnTo>
                  <a:pt x="64249" y="135242"/>
                </a:lnTo>
                <a:lnTo>
                  <a:pt x="65697" y="124447"/>
                </a:lnTo>
                <a:lnTo>
                  <a:pt x="68580" y="117259"/>
                </a:lnTo>
                <a:lnTo>
                  <a:pt x="77965" y="107899"/>
                </a:lnTo>
                <a:lnTo>
                  <a:pt x="84467" y="105740"/>
                </a:lnTo>
                <a:lnTo>
                  <a:pt x="99618" y="105740"/>
                </a:lnTo>
                <a:lnTo>
                  <a:pt x="106121" y="107899"/>
                </a:lnTo>
                <a:lnTo>
                  <a:pt x="111175" y="113665"/>
                </a:lnTo>
                <a:lnTo>
                  <a:pt x="115506" y="118694"/>
                </a:lnTo>
                <a:lnTo>
                  <a:pt x="118389" y="125895"/>
                </a:lnTo>
                <a:lnTo>
                  <a:pt x="118389" y="65468"/>
                </a:lnTo>
                <a:lnTo>
                  <a:pt x="108889" y="63195"/>
                </a:lnTo>
                <a:lnTo>
                  <a:pt x="89522" y="61849"/>
                </a:lnTo>
                <a:lnTo>
                  <a:pt x="69088" y="63461"/>
                </a:lnTo>
                <a:lnTo>
                  <a:pt x="23101" y="87033"/>
                </a:lnTo>
                <a:lnTo>
                  <a:pt x="1371" y="137020"/>
                </a:lnTo>
                <a:lnTo>
                  <a:pt x="0" y="158991"/>
                </a:lnTo>
                <a:lnTo>
                  <a:pt x="1511" y="180733"/>
                </a:lnTo>
                <a:lnTo>
                  <a:pt x="25260" y="229501"/>
                </a:lnTo>
                <a:lnTo>
                  <a:pt x="73888" y="252463"/>
                </a:lnTo>
                <a:lnTo>
                  <a:pt x="95288" y="253961"/>
                </a:lnTo>
                <a:lnTo>
                  <a:pt x="106133" y="253822"/>
                </a:lnTo>
                <a:lnTo>
                  <a:pt x="148628" y="247396"/>
                </a:lnTo>
                <a:lnTo>
                  <a:pt x="163880" y="241020"/>
                </a:lnTo>
                <a:lnTo>
                  <a:pt x="156159" y="208635"/>
                </a:lnTo>
                <a:lnTo>
                  <a:pt x="153771" y="198564"/>
                </a:lnTo>
                <a:lnTo>
                  <a:pt x="111226" y="208394"/>
                </a:lnTo>
                <a:lnTo>
                  <a:pt x="103238" y="208635"/>
                </a:lnTo>
                <a:lnTo>
                  <a:pt x="94564" y="208102"/>
                </a:lnTo>
                <a:lnTo>
                  <a:pt x="64198" y="182702"/>
                </a:lnTo>
                <a:lnTo>
                  <a:pt x="63525" y="175539"/>
                </a:lnTo>
                <a:lnTo>
                  <a:pt x="175425" y="175539"/>
                </a:lnTo>
                <a:lnTo>
                  <a:pt x="175425" y="146761"/>
                </a:lnTo>
                <a:close/>
              </a:path>
              <a:path w="1049020" h="254000">
                <a:moveTo>
                  <a:pt x="555548" y="64477"/>
                </a:moveTo>
                <a:lnTo>
                  <a:pt x="493077" y="64477"/>
                </a:lnTo>
                <a:lnTo>
                  <a:pt x="493077" y="251320"/>
                </a:lnTo>
                <a:lnTo>
                  <a:pt x="555548" y="251320"/>
                </a:lnTo>
                <a:lnTo>
                  <a:pt x="555548" y="64477"/>
                </a:lnTo>
                <a:close/>
              </a:path>
              <a:path w="1049020" h="254000">
                <a:moveTo>
                  <a:pt x="555548" y="0"/>
                </a:moveTo>
                <a:lnTo>
                  <a:pt x="493077" y="0"/>
                </a:lnTo>
                <a:lnTo>
                  <a:pt x="493077" y="42100"/>
                </a:lnTo>
                <a:lnTo>
                  <a:pt x="555548" y="42100"/>
                </a:lnTo>
                <a:lnTo>
                  <a:pt x="555548" y="0"/>
                </a:lnTo>
                <a:close/>
              </a:path>
              <a:path w="1049020" h="254000">
                <a:moveTo>
                  <a:pt x="713689" y="196862"/>
                </a:moveTo>
                <a:lnTo>
                  <a:pt x="704875" y="199707"/>
                </a:lnTo>
                <a:lnTo>
                  <a:pt x="696887" y="201739"/>
                </a:lnTo>
                <a:lnTo>
                  <a:pt x="689711" y="202958"/>
                </a:lnTo>
                <a:lnTo>
                  <a:pt x="683348" y="203365"/>
                </a:lnTo>
                <a:lnTo>
                  <a:pt x="671791" y="203365"/>
                </a:lnTo>
                <a:lnTo>
                  <a:pt x="666013" y="197586"/>
                </a:lnTo>
                <a:lnTo>
                  <a:pt x="666013" y="112268"/>
                </a:lnTo>
                <a:lnTo>
                  <a:pt x="706462" y="112268"/>
                </a:lnTo>
                <a:lnTo>
                  <a:pt x="706462" y="63842"/>
                </a:lnTo>
                <a:lnTo>
                  <a:pt x="666013" y="63842"/>
                </a:lnTo>
                <a:lnTo>
                  <a:pt x="666013" y="5283"/>
                </a:lnTo>
                <a:lnTo>
                  <a:pt x="602449" y="16840"/>
                </a:lnTo>
                <a:lnTo>
                  <a:pt x="602449" y="63842"/>
                </a:lnTo>
                <a:lnTo>
                  <a:pt x="580783" y="63842"/>
                </a:lnTo>
                <a:lnTo>
                  <a:pt x="580783" y="112268"/>
                </a:lnTo>
                <a:lnTo>
                  <a:pt x="602449" y="112268"/>
                </a:lnTo>
                <a:lnTo>
                  <a:pt x="602449" y="189623"/>
                </a:lnTo>
                <a:lnTo>
                  <a:pt x="603377" y="204914"/>
                </a:lnTo>
                <a:lnTo>
                  <a:pt x="625017" y="245122"/>
                </a:lnTo>
                <a:lnTo>
                  <a:pt x="662406" y="253974"/>
                </a:lnTo>
                <a:lnTo>
                  <a:pt x="669823" y="253834"/>
                </a:lnTo>
                <a:lnTo>
                  <a:pt x="713689" y="243852"/>
                </a:lnTo>
                <a:lnTo>
                  <a:pt x="713689" y="196862"/>
                </a:lnTo>
                <a:close/>
              </a:path>
              <a:path w="1049020" h="254000">
                <a:moveTo>
                  <a:pt x="858558" y="196862"/>
                </a:moveTo>
                <a:lnTo>
                  <a:pt x="850163" y="199707"/>
                </a:lnTo>
                <a:lnTo>
                  <a:pt x="842302" y="201739"/>
                </a:lnTo>
                <a:lnTo>
                  <a:pt x="834986" y="202958"/>
                </a:lnTo>
                <a:lnTo>
                  <a:pt x="828217" y="203365"/>
                </a:lnTo>
                <a:lnTo>
                  <a:pt x="817384" y="203365"/>
                </a:lnTo>
                <a:lnTo>
                  <a:pt x="811606" y="197586"/>
                </a:lnTo>
                <a:lnTo>
                  <a:pt x="811606" y="112268"/>
                </a:lnTo>
                <a:lnTo>
                  <a:pt x="851331" y="112268"/>
                </a:lnTo>
                <a:lnTo>
                  <a:pt x="851331" y="63842"/>
                </a:lnTo>
                <a:lnTo>
                  <a:pt x="811606" y="63842"/>
                </a:lnTo>
                <a:lnTo>
                  <a:pt x="811606" y="5283"/>
                </a:lnTo>
                <a:lnTo>
                  <a:pt x="748042" y="16129"/>
                </a:lnTo>
                <a:lnTo>
                  <a:pt x="748042" y="63842"/>
                </a:lnTo>
                <a:lnTo>
                  <a:pt x="725652" y="63842"/>
                </a:lnTo>
                <a:lnTo>
                  <a:pt x="725652" y="112268"/>
                </a:lnTo>
                <a:lnTo>
                  <a:pt x="748042" y="112268"/>
                </a:lnTo>
                <a:lnTo>
                  <a:pt x="748042" y="189623"/>
                </a:lnTo>
                <a:lnTo>
                  <a:pt x="748868" y="204914"/>
                </a:lnTo>
                <a:lnTo>
                  <a:pt x="769912" y="245122"/>
                </a:lnTo>
                <a:lnTo>
                  <a:pt x="807999" y="253974"/>
                </a:lnTo>
                <a:lnTo>
                  <a:pt x="815327" y="253834"/>
                </a:lnTo>
                <a:lnTo>
                  <a:pt x="858558" y="243852"/>
                </a:lnTo>
                <a:lnTo>
                  <a:pt x="858558" y="196862"/>
                </a:lnTo>
                <a:close/>
              </a:path>
              <a:path w="1049020" h="254000">
                <a:moveTo>
                  <a:pt x="1048600" y="146761"/>
                </a:moveTo>
                <a:lnTo>
                  <a:pt x="1013637" y="74002"/>
                </a:lnTo>
                <a:lnTo>
                  <a:pt x="991374" y="65468"/>
                </a:lnTo>
                <a:lnTo>
                  <a:pt x="991374" y="125895"/>
                </a:lnTo>
                <a:lnTo>
                  <a:pt x="991374" y="135242"/>
                </a:lnTo>
                <a:lnTo>
                  <a:pt x="937044" y="135242"/>
                </a:lnTo>
                <a:lnTo>
                  <a:pt x="937564" y="127457"/>
                </a:lnTo>
                <a:lnTo>
                  <a:pt x="937666" y="125895"/>
                </a:lnTo>
                <a:lnTo>
                  <a:pt x="957326" y="105740"/>
                </a:lnTo>
                <a:lnTo>
                  <a:pt x="972540" y="105740"/>
                </a:lnTo>
                <a:lnTo>
                  <a:pt x="979055" y="107899"/>
                </a:lnTo>
                <a:lnTo>
                  <a:pt x="984135" y="113665"/>
                </a:lnTo>
                <a:lnTo>
                  <a:pt x="988479" y="118694"/>
                </a:lnTo>
                <a:lnTo>
                  <a:pt x="991374" y="125895"/>
                </a:lnTo>
                <a:lnTo>
                  <a:pt x="991374" y="65468"/>
                </a:lnTo>
                <a:lnTo>
                  <a:pt x="981824" y="63195"/>
                </a:lnTo>
                <a:lnTo>
                  <a:pt x="962393" y="61849"/>
                </a:lnTo>
                <a:lnTo>
                  <a:pt x="941895" y="63461"/>
                </a:lnTo>
                <a:lnTo>
                  <a:pt x="895743" y="87033"/>
                </a:lnTo>
                <a:lnTo>
                  <a:pt x="873328" y="137020"/>
                </a:lnTo>
                <a:lnTo>
                  <a:pt x="871842" y="158991"/>
                </a:lnTo>
                <a:lnTo>
                  <a:pt x="873455" y="180733"/>
                </a:lnTo>
                <a:lnTo>
                  <a:pt x="897191" y="229501"/>
                </a:lnTo>
                <a:lnTo>
                  <a:pt x="946708" y="252463"/>
                </a:lnTo>
                <a:lnTo>
                  <a:pt x="968197" y="253961"/>
                </a:lnTo>
                <a:lnTo>
                  <a:pt x="978763" y="253822"/>
                </a:lnTo>
                <a:lnTo>
                  <a:pt x="1021613" y="247396"/>
                </a:lnTo>
                <a:lnTo>
                  <a:pt x="1036294" y="241020"/>
                </a:lnTo>
                <a:lnTo>
                  <a:pt x="1029106" y="208635"/>
                </a:lnTo>
                <a:lnTo>
                  <a:pt x="1026871" y="198564"/>
                </a:lnTo>
                <a:lnTo>
                  <a:pt x="984173" y="208394"/>
                </a:lnTo>
                <a:lnTo>
                  <a:pt x="976160" y="208635"/>
                </a:lnTo>
                <a:lnTo>
                  <a:pt x="967447" y="208102"/>
                </a:lnTo>
                <a:lnTo>
                  <a:pt x="936688" y="182702"/>
                </a:lnTo>
                <a:lnTo>
                  <a:pt x="935596" y="175539"/>
                </a:lnTo>
                <a:lnTo>
                  <a:pt x="1048600" y="175539"/>
                </a:lnTo>
                <a:lnTo>
                  <a:pt x="1048600" y="146761"/>
                </a:lnTo>
                <a:close/>
              </a:path>
            </a:pathLst>
          </a:custGeom>
          <a:solidFill>
            <a:srgbClr val="FFFFFF"/>
          </a:solidFill>
        </xdr:spPr>
        <xdr:txBody>
          <a:bodyPr wrap="square" lIns="0" tIns="0" rIns="0" bIns="0" rtlCol="0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/>
          </a:p>
        </xdr:txBody>
      </xdr:sp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0</xdr:rowOff>
    </xdr:from>
    <xdr:to>
      <xdr:col>7</xdr:col>
      <xdr:colOff>341406</xdr:colOff>
      <xdr:row>2</xdr:row>
      <xdr:rowOff>1493</xdr:rowOff>
    </xdr:to>
    <xdr:grpSp>
      <xdr:nvGrpSpPr>
        <xdr:cNvPr id="9" name="object 4">
          <a:extLst>
            <a:ext uri="{FF2B5EF4-FFF2-40B4-BE49-F238E27FC236}">
              <a16:creationId xmlns:a16="http://schemas.microsoft.com/office/drawing/2014/main" id="{C7474DC9-D61E-4E5D-8242-4C741CAD3174}"/>
            </a:ext>
          </a:extLst>
        </xdr:cNvPr>
        <xdr:cNvGrpSpPr>
          <a:grpSpLocks noChangeAspect="1"/>
        </xdr:cNvGrpSpPr>
      </xdr:nvGrpSpPr>
      <xdr:grpSpPr>
        <a:xfrm>
          <a:off x="0" y="0"/>
          <a:ext cx="10095006" cy="630143"/>
          <a:chOff x="0" y="0"/>
          <a:chExt cx="12191999" cy="783830"/>
        </a:xfrm>
      </xdr:grpSpPr>
      <xdr:pic>
        <xdr:nvPicPr>
          <xdr:cNvPr id="10" name="object 5">
            <a:extLst>
              <a:ext uri="{FF2B5EF4-FFF2-40B4-BE49-F238E27FC236}">
                <a16:creationId xmlns:a16="http://schemas.microsoft.com/office/drawing/2014/main" id="{7ED85E9A-B799-CD81-0E9E-D7827AF210FE}"/>
              </a:ext>
            </a:extLst>
          </xdr:cNvPr>
          <xdr:cNvPicPr/>
        </xdr:nvPicPr>
        <xdr:blipFill>
          <a:blip xmlns:r="http://schemas.openxmlformats.org/officeDocument/2006/relationships" r:embed="rId1" cstate="print"/>
          <a:stretch>
            <a:fillRect/>
          </a:stretch>
        </xdr:blipFill>
        <xdr:spPr>
          <a:xfrm>
            <a:off x="0" y="0"/>
            <a:ext cx="12191999" cy="783830"/>
          </a:xfrm>
          <a:prstGeom prst="rect">
            <a:avLst/>
          </a:prstGeom>
        </xdr:spPr>
      </xdr:pic>
      <xdr:pic>
        <xdr:nvPicPr>
          <xdr:cNvPr id="11" name="object 6">
            <a:extLst>
              <a:ext uri="{FF2B5EF4-FFF2-40B4-BE49-F238E27FC236}">
                <a16:creationId xmlns:a16="http://schemas.microsoft.com/office/drawing/2014/main" id="{74DF0C3E-2437-5C22-6500-D0626BDD4ADD}"/>
              </a:ext>
            </a:extLst>
          </xdr:cNvPr>
          <xdr:cNvPicPr/>
        </xdr:nvPicPr>
        <xdr:blipFill>
          <a:blip xmlns:r="http://schemas.openxmlformats.org/officeDocument/2006/relationships" r:embed="rId2" cstate="print"/>
          <a:stretch>
            <a:fillRect/>
          </a:stretch>
        </xdr:blipFill>
        <xdr:spPr>
          <a:xfrm>
            <a:off x="10431602" y="325336"/>
            <a:ext cx="1106233" cy="188962"/>
          </a:xfrm>
          <a:prstGeom prst="rect">
            <a:avLst/>
          </a:prstGeom>
        </xdr:spPr>
      </xdr:pic>
      <xdr:sp macro="" textlink="">
        <xdr:nvSpPr>
          <xdr:cNvPr id="12" name="object 7">
            <a:extLst>
              <a:ext uri="{FF2B5EF4-FFF2-40B4-BE49-F238E27FC236}">
                <a16:creationId xmlns:a16="http://schemas.microsoft.com/office/drawing/2014/main" id="{A7EAEB93-909A-777A-C7C6-375A5CD51E9F}"/>
              </a:ext>
            </a:extLst>
          </xdr:cNvPr>
          <xdr:cNvSpPr/>
        </xdr:nvSpPr>
        <xdr:spPr>
          <a:xfrm>
            <a:off x="1863631" y="494630"/>
            <a:ext cx="73660" cy="72390"/>
          </a:xfrm>
          <a:custGeom>
            <a:avLst/>
            <a:gdLst/>
            <a:ahLst/>
            <a:cxnLst/>
            <a:rect l="l" t="t" r="r" b="b"/>
            <a:pathLst>
              <a:path w="73660" h="72390">
                <a:moveTo>
                  <a:pt x="36550" y="0"/>
                </a:moveTo>
                <a:lnTo>
                  <a:pt x="22326" y="2844"/>
                </a:lnTo>
                <a:lnTo>
                  <a:pt x="10706" y="10591"/>
                </a:lnTo>
                <a:lnTo>
                  <a:pt x="2870" y="22098"/>
                </a:lnTo>
                <a:lnTo>
                  <a:pt x="0" y="36182"/>
                </a:lnTo>
                <a:lnTo>
                  <a:pt x="2870" y="50266"/>
                </a:lnTo>
                <a:lnTo>
                  <a:pt x="10706" y="61772"/>
                </a:lnTo>
                <a:lnTo>
                  <a:pt x="22326" y="69519"/>
                </a:lnTo>
                <a:lnTo>
                  <a:pt x="36550" y="72364"/>
                </a:lnTo>
                <a:lnTo>
                  <a:pt x="50774" y="69519"/>
                </a:lnTo>
                <a:lnTo>
                  <a:pt x="62395" y="61772"/>
                </a:lnTo>
                <a:lnTo>
                  <a:pt x="70231" y="50266"/>
                </a:lnTo>
                <a:lnTo>
                  <a:pt x="73101" y="36182"/>
                </a:lnTo>
                <a:lnTo>
                  <a:pt x="70231" y="22098"/>
                </a:lnTo>
                <a:lnTo>
                  <a:pt x="62395" y="10591"/>
                </a:lnTo>
                <a:lnTo>
                  <a:pt x="50774" y="2844"/>
                </a:lnTo>
                <a:lnTo>
                  <a:pt x="36550" y="0"/>
                </a:lnTo>
                <a:close/>
              </a:path>
            </a:pathLst>
          </a:custGeom>
          <a:solidFill>
            <a:srgbClr val="C1DE54"/>
          </a:solidFill>
        </xdr:spPr>
        <xdr:txBody>
          <a:bodyPr wrap="square" lIns="0" tIns="0" rIns="0" bIns="0" rtlCol="0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/>
          </a:p>
        </xdr:txBody>
      </xdr:sp>
      <xdr:sp macro="" textlink="">
        <xdr:nvSpPr>
          <xdr:cNvPr id="13" name="object 8">
            <a:extLst>
              <a:ext uri="{FF2B5EF4-FFF2-40B4-BE49-F238E27FC236}">
                <a16:creationId xmlns:a16="http://schemas.microsoft.com/office/drawing/2014/main" id="{5B1F8A55-AD1D-886F-57DF-FE42D3D784C5}"/>
              </a:ext>
            </a:extLst>
          </xdr:cNvPr>
          <xdr:cNvSpPr/>
        </xdr:nvSpPr>
        <xdr:spPr>
          <a:xfrm>
            <a:off x="574459" y="311721"/>
            <a:ext cx="488315" cy="251460"/>
          </a:xfrm>
          <a:custGeom>
            <a:avLst/>
            <a:gdLst/>
            <a:ahLst/>
            <a:cxnLst/>
            <a:rect l="l" t="t" r="r" b="b"/>
            <a:pathLst>
              <a:path w="488315" h="251459">
                <a:moveTo>
                  <a:pt x="207327" y="120929"/>
                </a:moveTo>
                <a:lnTo>
                  <a:pt x="199288" y="70129"/>
                </a:lnTo>
                <a:lnTo>
                  <a:pt x="175539" y="32308"/>
                </a:lnTo>
                <a:lnTo>
                  <a:pt x="138696" y="10261"/>
                </a:lnTo>
                <a:lnTo>
                  <a:pt x="138696" y="123812"/>
                </a:lnTo>
                <a:lnTo>
                  <a:pt x="137871" y="140970"/>
                </a:lnTo>
                <a:lnTo>
                  <a:pt x="124968" y="177850"/>
                </a:lnTo>
                <a:lnTo>
                  <a:pt x="80187" y="195859"/>
                </a:lnTo>
                <a:lnTo>
                  <a:pt x="65735" y="195859"/>
                </a:lnTo>
                <a:lnTo>
                  <a:pt x="65735" y="56083"/>
                </a:lnTo>
                <a:lnTo>
                  <a:pt x="85242" y="56083"/>
                </a:lnTo>
                <a:lnTo>
                  <a:pt x="125691" y="72656"/>
                </a:lnTo>
                <a:lnTo>
                  <a:pt x="138696" y="123812"/>
                </a:lnTo>
                <a:lnTo>
                  <a:pt x="138696" y="10261"/>
                </a:lnTo>
                <a:lnTo>
                  <a:pt x="136525" y="9258"/>
                </a:lnTo>
                <a:lnTo>
                  <a:pt x="112141" y="3340"/>
                </a:lnTo>
                <a:lnTo>
                  <a:pt x="84518" y="1333"/>
                </a:lnTo>
                <a:lnTo>
                  <a:pt x="0" y="1333"/>
                </a:lnTo>
                <a:lnTo>
                  <a:pt x="0" y="251333"/>
                </a:lnTo>
                <a:lnTo>
                  <a:pt x="78740" y="251333"/>
                </a:lnTo>
                <a:lnTo>
                  <a:pt x="132816" y="242785"/>
                </a:lnTo>
                <a:lnTo>
                  <a:pt x="173380" y="217474"/>
                </a:lnTo>
                <a:lnTo>
                  <a:pt x="198742" y="176491"/>
                </a:lnTo>
                <a:lnTo>
                  <a:pt x="205168" y="150495"/>
                </a:lnTo>
                <a:lnTo>
                  <a:pt x="207327" y="120929"/>
                </a:lnTo>
                <a:close/>
              </a:path>
              <a:path w="488315" h="251459">
                <a:moveTo>
                  <a:pt x="487768" y="0"/>
                </a:moveTo>
                <a:lnTo>
                  <a:pt x="425297" y="0"/>
                </a:lnTo>
                <a:lnTo>
                  <a:pt x="425297" y="251320"/>
                </a:lnTo>
                <a:lnTo>
                  <a:pt x="487768" y="251320"/>
                </a:lnTo>
                <a:lnTo>
                  <a:pt x="487768" y="0"/>
                </a:lnTo>
                <a:close/>
              </a:path>
            </a:pathLst>
          </a:custGeom>
          <a:solidFill>
            <a:srgbClr val="FFFFFF"/>
          </a:solidFill>
        </xdr:spPr>
        <xdr:txBody>
          <a:bodyPr wrap="square" lIns="0" tIns="0" rIns="0" bIns="0" rtlCol="0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/>
          </a:p>
        </xdr:txBody>
      </xdr:sp>
      <xdr:pic>
        <xdr:nvPicPr>
          <xdr:cNvPr id="14" name="object 9">
            <a:extLst>
              <a:ext uri="{FF2B5EF4-FFF2-40B4-BE49-F238E27FC236}">
                <a16:creationId xmlns:a16="http://schemas.microsoft.com/office/drawing/2014/main" id="{B45DDD76-3939-EF92-B67C-55E58856585F}"/>
              </a:ext>
            </a:extLst>
          </xdr:cNvPr>
          <xdr:cNvPicPr/>
        </xdr:nvPicPr>
        <xdr:blipFill>
          <a:blip xmlns:r="http://schemas.openxmlformats.org/officeDocument/2006/relationships" r:embed="rId3" cstate="print"/>
          <a:stretch>
            <a:fillRect/>
          </a:stretch>
        </xdr:blipFill>
        <xdr:spPr>
          <a:xfrm>
            <a:off x="1087475" y="373583"/>
            <a:ext cx="180743" cy="192100"/>
          </a:xfrm>
          <a:prstGeom prst="rect">
            <a:avLst/>
          </a:prstGeom>
        </xdr:spPr>
      </xdr:pic>
      <xdr:sp macro="" textlink="">
        <xdr:nvSpPr>
          <xdr:cNvPr id="15" name="object 10">
            <a:extLst>
              <a:ext uri="{FF2B5EF4-FFF2-40B4-BE49-F238E27FC236}">
                <a16:creationId xmlns:a16="http://schemas.microsoft.com/office/drawing/2014/main" id="{5BB0EBEE-2A00-A3E9-D5AA-C431117C3427}"/>
              </a:ext>
            </a:extLst>
          </xdr:cNvPr>
          <xdr:cNvSpPr/>
        </xdr:nvSpPr>
        <xdr:spPr>
          <a:xfrm>
            <a:off x="800392" y="311721"/>
            <a:ext cx="1049020" cy="254000"/>
          </a:xfrm>
          <a:custGeom>
            <a:avLst/>
            <a:gdLst/>
            <a:ahLst/>
            <a:cxnLst/>
            <a:rect l="l" t="t" r="r" b="b"/>
            <a:pathLst>
              <a:path w="1049020" h="254000">
                <a:moveTo>
                  <a:pt x="175425" y="146761"/>
                </a:moveTo>
                <a:lnTo>
                  <a:pt x="174739" y="137020"/>
                </a:lnTo>
                <a:lnTo>
                  <a:pt x="174612" y="135242"/>
                </a:lnTo>
                <a:lnTo>
                  <a:pt x="174066" y="127457"/>
                </a:lnTo>
                <a:lnTo>
                  <a:pt x="153047" y="83439"/>
                </a:lnTo>
                <a:lnTo>
                  <a:pt x="118389" y="65468"/>
                </a:lnTo>
                <a:lnTo>
                  <a:pt x="118389" y="125895"/>
                </a:lnTo>
                <a:lnTo>
                  <a:pt x="118389" y="135242"/>
                </a:lnTo>
                <a:lnTo>
                  <a:pt x="64249" y="135242"/>
                </a:lnTo>
                <a:lnTo>
                  <a:pt x="65697" y="124447"/>
                </a:lnTo>
                <a:lnTo>
                  <a:pt x="68580" y="117259"/>
                </a:lnTo>
                <a:lnTo>
                  <a:pt x="77965" y="107899"/>
                </a:lnTo>
                <a:lnTo>
                  <a:pt x="84467" y="105740"/>
                </a:lnTo>
                <a:lnTo>
                  <a:pt x="99618" y="105740"/>
                </a:lnTo>
                <a:lnTo>
                  <a:pt x="106121" y="107899"/>
                </a:lnTo>
                <a:lnTo>
                  <a:pt x="111175" y="113665"/>
                </a:lnTo>
                <a:lnTo>
                  <a:pt x="115506" y="118694"/>
                </a:lnTo>
                <a:lnTo>
                  <a:pt x="118389" y="125895"/>
                </a:lnTo>
                <a:lnTo>
                  <a:pt x="118389" y="65468"/>
                </a:lnTo>
                <a:lnTo>
                  <a:pt x="108889" y="63195"/>
                </a:lnTo>
                <a:lnTo>
                  <a:pt x="89522" y="61849"/>
                </a:lnTo>
                <a:lnTo>
                  <a:pt x="69088" y="63461"/>
                </a:lnTo>
                <a:lnTo>
                  <a:pt x="23101" y="87033"/>
                </a:lnTo>
                <a:lnTo>
                  <a:pt x="1371" y="137020"/>
                </a:lnTo>
                <a:lnTo>
                  <a:pt x="0" y="158991"/>
                </a:lnTo>
                <a:lnTo>
                  <a:pt x="1511" y="180733"/>
                </a:lnTo>
                <a:lnTo>
                  <a:pt x="25260" y="229501"/>
                </a:lnTo>
                <a:lnTo>
                  <a:pt x="73888" y="252463"/>
                </a:lnTo>
                <a:lnTo>
                  <a:pt x="95288" y="253961"/>
                </a:lnTo>
                <a:lnTo>
                  <a:pt x="106133" y="253822"/>
                </a:lnTo>
                <a:lnTo>
                  <a:pt x="148628" y="247396"/>
                </a:lnTo>
                <a:lnTo>
                  <a:pt x="163880" y="241020"/>
                </a:lnTo>
                <a:lnTo>
                  <a:pt x="156159" y="208635"/>
                </a:lnTo>
                <a:lnTo>
                  <a:pt x="153771" y="198564"/>
                </a:lnTo>
                <a:lnTo>
                  <a:pt x="111226" y="208394"/>
                </a:lnTo>
                <a:lnTo>
                  <a:pt x="103238" y="208635"/>
                </a:lnTo>
                <a:lnTo>
                  <a:pt x="94564" y="208102"/>
                </a:lnTo>
                <a:lnTo>
                  <a:pt x="64198" y="182702"/>
                </a:lnTo>
                <a:lnTo>
                  <a:pt x="63525" y="175539"/>
                </a:lnTo>
                <a:lnTo>
                  <a:pt x="175425" y="175539"/>
                </a:lnTo>
                <a:lnTo>
                  <a:pt x="175425" y="146761"/>
                </a:lnTo>
                <a:close/>
              </a:path>
              <a:path w="1049020" h="254000">
                <a:moveTo>
                  <a:pt x="555548" y="64477"/>
                </a:moveTo>
                <a:lnTo>
                  <a:pt x="493077" y="64477"/>
                </a:lnTo>
                <a:lnTo>
                  <a:pt x="493077" y="251320"/>
                </a:lnTo>
                <a:lnTo>
                  <a:pt x="555548" y="251320"/>
                </a:lnTo>
                <a:lnTo>
                  <a:pt x="555548" y="64477"/>
                </a:lnTo>
                <a:close/>
              </a:path>
              <a:path w="1049020" h="254000">
                <a:moveTo>
                  <a:pt x="555548" y="0"/>
                </a:moveTo>
                <a:lnTo>
                  <a:pt x="493077" y="0"/>
                </a:lnTo>
                <a:lnTo>
                  <a:pt x="493077" y="42100"/>
                </a:lnTo>
                <a:lnTo>
                  <a:pt x="555548" y="42100"/>
                </a:lnTo>
                <a:lnTo>
                  <a:pt x="555548" y="0"/>
                </a:lnTo>
                <a:close/>
              </a:path>
              <a:path w="1049020" h="254000">
                <a:moveTo>
                  <a:pt x="713689" y="196862"/>
                </a:moveTo>
                <a:lnTo>
                  <a:pt x="704875" y="199707"/>
                </a:lnTo>
                <a:lnTo>
                  <a:pt x="696887" y="201739"/>
                </a:lnTo>
                <a:lnTo>
                  <a:pt x="689711" y="202958"/>
                </a:lnTo>
                <a:lnTo>
                  <a:pt x="683348" y="203365"/>
                </a:lnTo>
                <a:lnTo>
                  <a:pt x="671791" y="203365"/>
                </a:lnTo>
                <a:lnTo>
                  <a:pt x="666013" y="197586"/>
                </a:lnTo>
                <a:lnTo>
                  <a:pt x="666013" y="112268"/>
                </a:lnTo>
                <a:lnTo>
                  <a:pt x="706462" y="112268"/>
                </a:lnTo>
                <a:lnTo>
                  <a:pt x="706462" y="63842"/>
                </a:lnTo>
                <a:lnTo>
                  <a:pt x="666013" y="63842"/>
                </a:lnTo>
                <a:lnTo>
                  <a:pt x="666013" y="5283"/>
                </a:lnTo>
                <a:lnTo>
                  <a:pt x="602449" y="16840"/>
                </a:lnTo>
                <a:lnTo>
                  <a:pt x="602449" y="63842"/>
                </a:lnTo>
                <a:lnTo>
                  <a:pt x="580783" y="63842"/>
                </a:lnTo>
                <a:lnTo>
                  <a:pt x="580783" y="112268"/>
                </a:lnTo>
                <a:lnTo>
                  <a:pt x="602449" y="112268"/>
                </a:lnTo>
                <a:lnTo>
                  <a:pt x="602449" y="189623"/>
                </a:lnTo>
                <a:lnTo>
                  <a:pt x="603377" y="204914"/>
                </a:lnTo>
                <a:lnTo>
                  <a:pt x="625017" y="245122"/>
                </a:lnTo>
                <a:lnTo>
                  <a:pt x="662406" y="253974"/>
                </a:lnTo>
                <a:lnTo>
                  <a:pt x="669823" y="253834"/>
                </a:lnTo>
                <a:lnTo>
                  <a:pt x="713689" y="243852"/>
                </a:lnTo>
                <a:lnTo>
                  <a:pt x="713689" y="196862"/>
                </a:lnTo>
                <a:close/>
              </a:path>
              <a:path w="1049020" h="254000">
                <a:moveTo>
                  <a:pt x="858558" y="196862"/>
                </a:moveTo>
                <a:lnTo>
                  <a:pt x="850163" y="199707"/>
                </a:lnTo>
                <a:lnTo>
                  <a:pt x="842302" y="201739"/>
                </a:lnTo>
                <a:lnTo>
                  <a:pt x="834986" y="202958"/>
                </a:lnTo>
                <a:lnTo>
                  <a:pt x="828217" y="203365"/>
                </a:lnTo>
                <a:lnTo>
                  <a:pt x="817384" y="203365"/>
                </a:lnTo>
                <a:lnTo>
                  <a:pt x="811606" y="197586"/>
                </a:lnTo>
                <a:lnTo>
                  <a:pt x="811606" y="112268"/>
                </a:lnTo>
                <a:lnTo>
                  <a:pt x="851331" y="112268"/>
                </a:lnTo>
                <a:lnTo>
                  <a:pt x="851331" y="63842"/>
                </a:lnTo>
                <a:lnTo>
                  <a:pt x="811606" y="63842"/>
                </a:lnTo>
                <a:lnTo>
                  <a:pt x="811606" y="5283"/>
                </a:lnTo>
                <a:lnTo>
                  <a:pt x="748042" y="16129"/>
                </a:lnTo>
                <a:lnTo>
                  <a:pt x="748042" y="63842"/>
                </a:lnTo>
                <a:lnTo>
                  <a:pt x="725652" y="63842"/>
                </a:lnTo>
                <a:lnTo>
                  <a:pt x="725652" y="112268"/>
                </a:lnTo>
                <a:lnTo>
                  <a:pt x="748042" y="112268"/>
                </a:lnTo>
                <a:lnTo>
                  <a:pt x="748042" y="189623"/>
                </a:lnTo>
                <a:lnTo>
                  <a:pt x="748868" y="204914"/>
                </a:lnTo>
                <a:lnTo>
                  <a:pt x="769912" y="245122"/>
                </a:lnTo>
                <a:lnTo>
                  <a:pt x="807999" y="253974"/>
                </a:lnTo>
                <a:lnTo>
                  <a:pt x="815327" y="253834"/>
                </a:lnTo>
                <a:lnTo>
                  <a:pt x="858558" y="243852"/>
                </a:lnTo>
                <a:lnTo>
                  <a:pt x="858558" y="196862"/>
                </a:lnTo>
                <a:close/>
              </a:path>
              <a:path w="1049020" h="254000">
                <a:moveTo>
                  <a:pt x="1048600" y="146761"/>
                </a:moveTo>
                <a:lnTo>
                  <a:pt x="1013637" y="74002"/>
                </a:lnTo>
                <a:lnTo>
                  <a:pt x="991374" y="65468"/>
                </a:lnTo>
                <a:lnTo>
                  <a:pt x="991374" y="125895"/>
                </a:lnTo>
                <a:lnTo>
                  <a:pt x="991374" y="135242"/>
                </a:lnTo>
                <a:lnTo>
                  <a:pt x="937044" y="135242"/>
                </a:lnTo>
                <a:lnTo>
                  <a:pt x="937564" y="127457"/>
                </a:lnTo>
                <a:lnTo>
                  <a:pt x="937666" y="125895"/>
                </a:lnTo>
                <a:lnTo>
                  <a:pt x="957326" y="105740"/>
                </a:lnTo>
                <a:lnTo>
                  <a:pt x="972540" y="105740"/>
                </a:lnTo>
                <a:lnTo>
                  <a:pt x="979055" y="107899"/>
                </a:lnTo>
                <a:lnTo>
                  <a:pt x="984135" y="113665"/>
                </a:lnTo>
                <a:lnTo>
                  <a:pt x="988479" y="118694"/>
                </a:lnTo>
                <a:lnTo>
                  <a:pt x="991374" y="125895"/>
                </a:lnTo>
                <a:lnTo>
                  <a:pt x="991374" y="65468"/>
                </a:lnTo>
                <a:lnTo>
                  <a:pt x="981824" y="63195"/>
                </a:lnTo>
                <a:lnTo>
                  <a:pt x="962393" y="61849"/>
                </a:lnTo>
                <a:lnTo>
                  <a:pt x="941895" y="63461"/>
                </a:lnTo>
                <a:lnTo>
                  <a:pt x="895743" y="87033"/>
                </a:lnTo>
                <a:lnTo>
                  <a:pt x="873328" y="137020"/>
                </a:lnTo>
                <a:lnTo>
                  <a:pt x="871842" y="158991"/>
                </a:lnTo>
                <a:lnTo>
                  <a:pt x="873455" y="180733"/>
                </a:lnTo>
                <a:lnTo>
                  <a:pt x="897191" y="229501"/>
                </a:lnTo>
                <a:lnTo>
                  <a:pt x="946708" y="252463"/>
                </a:lnTo>
                <a:lnTo>
                  <a:pt x="968197" y="253961"/>
                </a:lnTo>
                <a:lnTo>
                  <a:pt x="978763" y="253822"/>
                </a:lnTo>
                <a:lnTo>
                  <a:pt x="1021613" y="247396"/>
                </a:lnTo>
                <a:lnTo>
                  <a:pt x="1036294" y="241020"/>
                </a:lnTo>
                <a:lnTo>
                  <a:pt x="1029106" y="208635"/>
                </a:lnTo>
                <a:lnTo>
                  <a:pt x="1026871" y="198564"/>
                </a:lnTo>
                <a:lnTo>
                  <a:pt x="984173" y="208394"/>
                </a:lnTo>
                <a:lnTo>
                  <a:pt x="976160" y="208635"/>
                </a:lnTo>
                <a:lnTo>
                  <a:pt x="967447" y="208102"/>
                </a:lnTo>
                <a:lnTo>
                  <a:pt x="936688" y="182702"/>
                </a:lnTo>
                <a:lnTo>
                  <a:pt x="935596" y="175539"/>
                </a:lnTo>
                <a:lnTo>
                  <a:pt x="1048600" y="175539"/>
                </a:lnTo>
                <a:lnTo>
                  <a:pt x="1048600" y="146761"/>
                </a:lnTo>
                <a:close/>
              </a:path>
            </a:pathLst>
          </a:custGeom>
          <a:solidFill>
            <a:srgbClr val="FFFFFF"/>
          </a:solidFill>
        </xdr:spPr>
        <xdr:txBody>
          <a:bodyPr wrap="square" lIns="0" tIns="0" rIns="0" bIns="0" rtlCol="0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/>
          </a:p>
        </xdr:txBody>
      </xdr:sp>
    </xdr:grp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0</xdr:rowOff>
    </xdr:from>
    <xdr:to>
      <xdr:col>7</xdr:col>
      <xdr:colOff>53789</xdr:colOff>
      <xdr:row>2</xdr:row>
      <xdr:rowOff>2614</xdr:rowOff>
    </xdr:to>
    <xdr:grpSp>
      <xdr:nvGrpSpPr>
        <xdr:cNvPr id="2" name="object 4">
          <a:extLst>
            <a:ext uri="{FF2B5EF4-FFF2-40B4-BE49-F238E27FC236}">
              <a16:creationId xmlns:a16="http://schemas.microsoft.com/office/drawing/2014/main" id="{9274CEEE-9661-4C2D-95D3-7E5820F1A736}"/>
            </a:ext>
          </a:extLst>
        </xdr:cNvPr>
        <xdr:cNvGrpSpPr>
          <a:grpSpLocks noChangeAspect="1"/>
        </xdr:cNvGrpSpPr>
      </xdr:nvGrpSpPr>
      <xdr:grpSpPr>
        <a:xfrm>
          <a:off x="0" y="0"/>
          <a:ext cx="10074089" cy="631264"/>
          <a:chOff x="0" y="0"/>
          <a:chExt cx="12191999" cy="783830"/>
        </a:xfrm>
      </xdr:grpSpPr>
      <xdr:pic>
        <xdr:nvPicPr>
          <xdr:cNvPr id="4" name="object 5">
            <a:extLst>
              <a:ext uri="{FF2B5EF4-FFF2-40B4-BE49-F238E27FC236}">
                <a16:creationId xmlns:a16="http://schemas.microsoft.com/office/drawing/2014/main" id="{E80F1B60-9BFC-A896-B9BB-E7FD2FCD6165}"/>
              </a:ext>
            </a:extLst>
          </xdr:cNvPr>
          <xdr:cNvPicPr/>
        </xdr:nvPicPr>
        <xdr:blipFill>
          <a:blip xmlns:r="http://schemas.openxmlformats.org/officeDocument/2006/relationships" r:embed="rId1" cstate="print"/>
          <a:stretch>
            <a:fillRect/>
          </a:stretch>
        </xdr:blipFill>
        <xdr:spPr>
          <a:xfrm>
            <a:off x="0" y="0"/>
            <a:ext cx="12191999" cy="783830"/>
          </a:xfrm>
          <a:prstGeom prst="rect">
            <a:avLst/>
          </a:prstGeom>
        </xdr:spPr>
      </xdr:pic>
      <xdr:pic>
        <xdr:nvPicPr>
          <xdr:cNvPr id="5" name="object 6">
            <a:extLst>
              <a:ext uri="{FF2B5EF4-FFF2-40B4-BE49-F238E27FC236}">
                <a16:creationId xmlns:a16="http://schemas.microsoft.com/office/drawing/2014/main" id="{EDDB352B-AD4F-E0BF-CFBC-8A3334F87600}"/>
              </a:ext>
            </a:extLst>
          </xdr:cNvPr>
          <xdr:cNvPicPr/>
        </xdr:nvPicPr>
        <xdr:blipFill>
          <a:blip xmlns:r="http://schemas.openxmlformats.org/officeDocument/2006/relationships" r:embed="rId2" cstate="print"/>
          <a:stretch>
            <a:fillRect/>
          </a:stretch>
        </xdr:blipFill>
        <xdr:spPr>
          <a:xfrm>
            <a:off x="10431602" y="325336"/>
            <a:ext cx="1106233" cy="188962"/>
          </a:xfrm>
          <a:prstGeom prst="rect">
            <a:avLst/>
          </a:prstGeom>
        </xdr:spPr>
      </xdr:pic>
      <xdr:sp macro="" textlink="">
        <xdr:nvSpPr>
          <xdr:cNvPr id="6" name="object 7">
            <a:extLst>
              <a:ext uri="{FF2B5EF4-FFF2-40B4-BE49-F238E27FC236}">
                <a16:creationId xmlns:a16="http://schemas.microsoft.com/office/drawing/2014/main" id="{53B6F651-88E1-79DA-3CC9-7469ED4D0FA0}"/>
              </a:ext>
            </a:extLst>
          </xdr:cNvPr>
          <xdr:cNvSpPr/>
        </xdr:nvSpPr>
        <xdr:spPr>
          <a:xfrm>
            <a:off x="1863631" y="494630"/>
            <a:ext cx="73660" cy="72390"/>
          </a:xfrm>
          <a:custGeom>
            <a:avLst/>
            <a:gdLst/>
            <a:ahLst/>
            <a:cxnLst/>
            <a:rect l="l" t="t" r="r" b="b"/>
            <a:pathLst>
              <a:path w="73660" h="72390">
                <a:moveTo>
                  <a:pt x="36550" y="0"/>
                </a:moveTo>
                <a:lnTo>
                  <a:pt x="22326" y="2844"/>
                </a:lnTo>
                <a:lnTo>
                  <a:pt x="10706" y="10591"/>
                </a:lnTo>
                <a:lnTo>
                  <a:pt x="2870" y="22098"/>
                </a:lnTo>
                <a:lnTo>
                  <a:pt x="0" y="36182"/>
                </a:lnTo>
                <a:lnTo>
                  <a:pt x="2870" y="50266"/>
                </a:lnTo>
                <a:lnTo>
                  <a:pt x="10706" y="61772"/>
                </a:lnTo>
                <a:lnTo>
                  <a:pt x="22326" y="69519"/>
                </a:lnTo>
                <a:lnTo>
                  <a:pt x="36550" y="72364"/>
                </a:lnTo>
                <a:lnTo>
                  <a:pt x="50774" y="69519"/>
                </a:lnTo>
                <a:lnTo>
                  <a:pt x="62395" y="61772"/>
                </a:lnTo>
                <a:lnTo>
                  <a:pt x="70231" y="50266"/>
                </a:lnTo>
                <a:lnTo>
                  <a:pt x="73101" y="36182"/>
                </a:lnTo>
                <a:lnTo>
                  <a:pt x="70231" y="22098"/>
                </a:lnTo>
                <a:lnTo>
                  <a:pt x="62395" y="10591"/>
                </a:lnTo>
                <a:lnTo>
                  <a:pt x="50774" y="2844"/>
                </a:lnTo>
                <a:lnTo>
                  <a:pt x="36550" y="0"/>
                </a:lnTo>
                <a:close/>
              </a:path>
            </a:pathLst>
          </a:custGeom>
          <a:solidFill>
            <a:srgbClr val="C1DE54"/>
          </a:solidFill>
        </xdr:spPr>
        <xdr:txBody>
          <a:bodyPr wrap="square" lIns="0" tIns="0" rIns="0" bIns="0" rtlCol="0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/>
          </a:p>
        </xdr:txBody>
      </xdr:sp>
      <xdr:sp macro="" textlink="">
        <xdr:nvSpPr>
          <xdr:cNvPr id="7" name="object 8">
            <a:extLst>
              <a:ext uri="{FF2B5EF4-FFF2-40B4-BE49-F238E27FC236}">
                <a16:creationId xmlns:a16="http://schemas.microsoft.com/office/drawing/2014/main" id="{CCF579E4-4E00-8F15-8FED-FA227D35A5A7}"/>
              </a:ext>
            </a:extLst>
          </xdr:cNvPr>
          <xdr:cNvSpPr/>
        </xdr:nvSpPr>
        <xdr:spPr>
          <a:xfrm>
            <a:off x="574459" y="311721"/>
            <a:ext cx="488315" cy="251460"/>
          </a:xfrm>
          <a:custGeom>
            <a:avLst/>
            <a:gdLst/>
            <a:ahLst/>
            <a:cxnLst/>
            <a:rect l="l" t="t" r="r" b="b"/>
            <a:pathLst>
              <a:path w="488315" h="251459">
                <a:moveTo>
                  <a:pt x="207327" y="120929"/>
                </a:moveTo>
                <a:lnTo>
                  <a:pt x="199288" y="70129"/>
                </a:lnTo>
                <a:lnTo>
                  <a:pt x="175539" y="32308"/>
                </a:lnTo>
                <a:lnTo>
                  <a:pt x="138696" y="10261"/>
                </a:lnTo>
                <a:lnTo>
                  <a:pt x="138696" y="123812"/>
                </a:lnTo>
                <a:lnTo>
                  <a:pt x="137871" y="140970"/>
                </a:lnTo>
                <a:lnTo>
                  <a:pt x="124968" y="177850"/>
                </a:lnTo>
                <a:lnTo>
                  <a:pt x="80187" y="195859"/>
                </a:lnTo>
                <a:lnTo>
                  <a:pt x="65735" y="195859"/>
                </a:lnTo>
                <a:lnTo>
                  <a:pt x="65735" y="56083"/>
                </a:lnTo>
                <a:lnTo>
                  <a:pt x="85242" y="56083"/>
                </a:lnTo>
                <a:lnTo>
                  <a:pt x="125691" y="72656"/>
                </a:lnTo>
                <a:lnTo>
                  <a:pt x="138696" y="123812"/>
                </a:lnTo>
                <a:lnTo>
                  <a:pt x="138696" y="10261"/>
                </a:lnTo>
                <a:lnTo>
                  <a:pt x="136525" y="9258"/>
                </a:lnTo>
                <a:lnTo>
                  <a:pt x="112141" y="3340"/>
                </a:lnTo>
                <a:lnTo>
                  <a:pt x="84518" y="1333"/>
                </a:lnTo>
                <a:lnTo>
                  <a:pt x="0" y="1333"/>
                </a:lnTo>
                <a:lnTo>
                  <a:pt x="0" y="251333"/>
                </a:lnTo>
                <a:lnTo>
                  <a:pt x="78740" y="251333"/>
                </a:lnTo>
                <a:lnTo>
                  <a:pt x="132816" y="242785"/>
                </a:lnTo>
                <a:lnTo>
                  <a:pt x="173380" y="217474"/>
                </a:lnTo>
                <a:lnTo>
                  <a:pt x="198742" y="176491"/>
                </a:lnTo>
                <a:lnTo>
                  <a:pt x="205168" y="150495"/>
                </a:lnTo>
                <a:lnTo>
                  <a:pt x="207327" y="120929"/>
                </a:lnTo>
                <a:close/>
              </a:path>
              <a:path w="488315" h="251459">
                <a:moveTo>
                  <a:pt x="487768" y="0"/>
                </a:moveTo>
                <a:lnTo>
                  <a:pt x="425297" y="0"/>
                </a:lnTo>
                <a:lnTo>
                  <a:pt x="425297" y="251320"/>
                </a:lnTo>
                <a:lnTo>
                  <a:pt x="487768" y="251320"/>
                </a:lnTo>
                <a:lnTo>
                  <a:pt x="487768" y="0"/>
                </a:lnTo>
                <a:close/>
              </a:path>
            </a:pathLst>
          </a:custGeom>
          <a:solidFill>
            <a:srgbClr val="FFFFFF"/>
          </a:solidFill>
        </xdr:spPr>
        <xdr:txBody>
          <a:bodyPr wrap="square" lIns="0" tIns="0" rIns="0" bIns="0" rtlCol="0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/>
          </a:p>
        </xdr:txBody>
      </xdr:sp>
      <xdr:pic>
        <xdr:nvPicPr>
          <xdr:cNvPr id="8" name="object 9">
            <a:extLst>
              <a:ext uri="{FF2B5EF4-FFF2-40B4-BE49-F238E27FC236}">
                <a16:creationId xmlns:a16="http://schemas.microsoft.com/office/drawing/2014/main" id="{805CD485-289B-ED00-F64F-7FBD5F535BCC}"/>
              </a:ext>
            </a:extLst>
          </xdr:cNvPr>
          <xdr:cNvPicPr/>
        </xdr:nvPicPr>
        <xdr:blipFill>
          <a:blip xmlns:r="http://schemas.openxmlformats.org/officeDocument/2006/relationships" r:embed="rId3" cstate="print"/>
          <a:stretch>
            <a:fillRect/>
          </a:stretch>
        </xdr:blipFill>
        <xdr:spPr>
          <a:xfrm>
            <a:off x="1087475" y="373583"/>
            <a:ext cx="180743" cy="192100"/>
          </a:xfrm>
          <a:prstGeom prst="rect">
            <a:avLst/>
          </a:prstGeom>
        </xdr:spPr>
      </xdr:pic>
      <xdr:sp macro="" textlink="">
        <xdr:nvSpPr>
          <xdr:cNvPr id="9" name="object 10">
            <a:extLst>
              <a:ext uri="{FF2B5EF4-FFF2-40B4-BE49-F238E27FC236}">
                <a16:creationId xmlns:a16="http://schemas.microsoft.com/office/drawing/2014/main" id="{99F58FE9-5EB4-C5BA-3BBA-FBB9572D9484}"/>
              </a:ext>
            </a:extLst>
          </xdr:cNvPr>
          <xdr:cNvSpPr/>
        </xdr:nvSpPr>
        <xdr:spPr>
          <a:xfrm>
            <a:off x="800392" y="311721"/>
            <a:ext cx="1049020" cy="254000"/>
          </a:xfrm>
          <a:custGeom>
            <a:avLst/>
            <a:gdLst/>
            <a:ahLst/>
            <a:cxnLst/>
            <a:rect l="l" t="t" r="r" b="b"/>
            <a:pathLst>
              <a:path w="1049020" h="254000">
                <a:moveTo>
                  <a:pt x="175425" y="146761"/>
                </a:moveTo>
                <a:lnTo>
                  <a:pt x="174739" y="137020"/>
                </a:lnTo>
                <a:lnTo>
                  <a:pt x="174612" y="135242"/>
                </a:lnTo>
                <a:lnTo>
                  <a:pt x="174066" y="127457"/>
                </a:lnTo>
                <a:lnTo>
                  <a:pt x="153047" y="83439"/>
                </a:lnTo>
                <a:lnTo>
                  <a:pt x="118389" y="65468"/>
                </a:lnTo>
                <a:lnTo>
                  <a:pt x="118389" y="125895"/>
                </a:lnTo>
                <a:lnTo>
                  <a:pt x="118389" y="135242"/>
                </a:lnTo>
                <a:lnTo>
                  <a:pt x="64249" y="135242"/>
                </a:lnTo>
                <a:lnTo>
                  <a:pt x="65697" y="124447"/>
                </a:lnTo>
                <a:lnTo>
                  <a:pt x="68580" y="117259"/>
                </a:lnTo>
                <a:lnTo>
                  <a:pt x="77965" y="107899"/>
                </a:lnTo>
                <a:lnTo>
                  <a:pt x="84467" y="105740"/>
                </a:lnTo>
                <a:lnTo>
                  <a:pt x="99618" y="105740"/>
                </a:lnTo>
                <a:lnTo>
                  <a:pt x="106121" y="107899"/>
                </a:lnTo>
                <a:lnTo>
                  <a:pt x="111175" y="113665"/>
                </a:lnTo>
                <a:lnTo>
                  <a:pt x="115506" y="118694"/>
                </a:lnTo>
                <a:lnTo>
                  <a:pt x="118389" y="125895"/>
                </a:lnTo>
                <a:lnTo>
                  <a:pt x="118389" y="65468"/>
                </a:lnTo>
                <a:lnTo>
                  <a:pt x="108889" y="63195"/>
                </a:lnTo>
                <a:lnTo>
                  <a:pt x="89522" y="61849"/>
                </a:lnTo>
                <a:lnTo>
                  <a:pt x="69088" y="63461"/>
                </a:lnTo>
                <a:lnTo>
                  <a:pt x="23101" y="87033"/>
                </a:lnTo>
                <a:lnTo>
                  <a:pt x="1371" y="137020"/>
                </a:lnTo>
                <a:lnTo>
                  <a:pt x="0" y="158991"/>
                </a:lnTo>
                <a:lnTo>
                  <a:pt x="1511" y="180733"/>
                </a:lnTo>
                <a:lnTo>
                  <a:pt x="25260" y="229501"/>
                </a:lnTo>
                <a:lnTo>
                  <a:pt x="73888" y="252463"/>
                </a:lnTo>
                <a:lnTo>
                  <a:pt x="95288" y="253961"/>
                </a:lnTo>
                <a:lnTo>
                  <a:pt x="106133" y="253822"/>
                </a:lnTo>
                <a:lnTo>
                  <a:pt x="148628" y="247396"/>
                </a:lnTo>
                <a:lnTo>
                  <a:pt x="163880" y="241020"/>
                </a:lnTo>
                <a:lnTo>
                  <a:pt x="156159" y="208635"/>
                </a:lnTo>
                <a:lnTo>
                  <a:pt x="153771" y="198564"/>
                </a:lnTo>
                <a:lnTo>
                  <a:pt x="111226" y="208394"/>
                </a:lnTo>
                <a:lnTo>
                  <a:pt x="103238" y="208635"/>
                </a:lnTo>
                <a:lnTo>
                  <a:pt x="94564" y="208102"/>
                </a:lnTo>
                <a:lnTo>
                  <a:pt x="64198" y="182702"/>
                </a:lnTo>
                <a:lnTo>
                  <a:pt x="63525" y="175539"/>
                </a:lnTo>
                <a:lnTo>
                  <a:pt x="175425" y="175539"/>
                </a:lnTo>
                <a:lnTo>
                  <a:pt x="175425" y="146761"/>
                </a:lnTo>
                <a:close/>
              </a:path>
              <a:path w="1049020" h="254000">
                <a:moveTo>
                  <a:pt x="555548" y="64477"/>
                </a:moveTo>
                <a:lnTo>
                  <a:pt x="493077" y="64477"/>
                </a:lnTo>
                <a:lnTo>
                  <a:pt x="493077" y="251320"/>
                </a:lnTo>
                <a:lnTo>
                  <a:pt x="555548" y="251320"/>
                </a:lnTo>
                <a:lnTo>
                  <a:pt x="555548" y="64477"/>
                </a:lnTo>
                <a:close/>
              </a:path>
              <a:path w="1049020" h="254000">
                <a:moveTo>
                  <a:pt x="555548" y="0"/>
                </a:moveTo>
                <a:lnTo>
                  <a:pt x="493077" y="0"/>
                </a:lnTo>
                <a:lnTo>
                  <a:pt x="493077" y="42100"/>
                </a:lnTo>
                <a:lnTo>
                  <a:pt x="555548" y="42100"/>
                </a:lnTo>
                <a:lnTo>
                  <a:pt x="555548" y="0"/>
                </a:lnTo>
                <a:close/>
              </a:path>
              <a:path w="1049020" h="254000">
                <a:moveTo>
                  <a:pt x="713689" y="196862"/>
                </a:moveTo>
                <a:lnTo>
                  <a:pt x="704875" y="199707"/>
                </a:lnTo>
                <a:lnTo>
                  <a:pt x="696887" y="201739"/>
                </a:lnTo>
                <a:lnTo>
                  <a:pt x="689711" y="202958"/>
                </a:lnTo>
                <a:lnTo>
                  <a:pt x="683348" y="203365"/>
                </a:lnTo>
                <a:lnTo>
                  <a:pt x="671791" y="203365"/>
                </a:lnTo>
                <a:lnTo>
                  <a:pt x="666013" y="197586"/>
                </a:lnTo>
                <a:lnTo>
                  <a:pt x="666013" y="112268"/>
                </a:lnTo>
                <a:lnTo>
                  <a:pt x="706462" y="112268"/>
                </a:lnTo>
                <a:lnTo>
                  <a:pt x="706462" y="63842"/>
                </a:lnTo>
                <a:lnTo>
                  <a:pt x="666013" y="63842"/>
                </a:lnTo>
                <a:lnTo>
                  <a:pt x="666013" y="5283"/>
                </a:lnTo>
                <a:lnTo>
                  <a:pt x="602449" y="16840"/>
                </a:lnTo>
                <a:lnTo>
                  <a:pt x="602449" y="63842"/>
                </a:lnTo>
                <a:lnTo>
                  <a:pt x="580783" y="63842"/>
                </a:lnTo>
                <a:lnTo>
                  <a:pt x="580783" y="112268"/>
                </a:lnTo>
                <a:lnTo>
                  <a:pt x="602449" y="112268"/>
                </a:lnTo>
                <a:lnTo>
                  <a:pt x="602449" y="189623"/>
                </a:lnTo>
                <a:lnTo>
                  <a:pt x="603377" y="204914"/>
                </a:lnTo>
                <a:lnTo>
                  <a:pt x="625017" y="245122"/>
                </a:lnTo>
                <a:lnTo>
                  <a:pt x="662406" y="253974"/>
                </a:lnTo>
                <a:lnTo>
                  <a:pt x="669823" y="253834"/>
                </a:lnTo>
                <a:lnTo>
                  <a:pt x="713689" y="243852"/>
                </a:lnTo>
                <a:lnTo>
                  <a:pt x="713689" y="196862"/>
                </a:lnTo>
                <a:close/>
              </a:path>
              <a:path w="1049020" h="254000">
                <a:moveTo>
                  <a:pt x="858558" y="196862"/>
                </a:moveTo>
                <a:lnTo>
                  <a:pt x="850163" y="199707"/>
                </a:lnTo>
                <a:lnTo>
                  <a:pt x="842302" y="201739"/>
                </a:lnTo>
                <a:lnTo>
                  <a:pt x="834986" y="202958"/>
                </a:lnTo>
                <a:lnTo>
                  <a:pt x="828217" y="203365"/>
                </a:lnTo>
                <a:lnTo>
                  <a:pt x="817384" y="203365"/>
                </a:lnTo>
                <a:lnTo>
                  <a:pt x="811606" y="197586"/>
                </a:lnTo>
                <a:lnTo>
                  <a:pt x="811606" y="112268"/>
                </a:lnTo>
                <a:lnTo>
                  <a:pt x="851331" y="112268"/>
                </a:lnTo>
                <a:lnTo>
                  <a:pt x="851331" y="63842"/>
                </a:lnTo>
                <a:lnTo>
                  <a:pt x="811606" y="63842"/>
                </a:lnTo>
                <a:lnTo>
                  <a:pt x="811606" y="5283"/>
                </a:lnTo>
                <a:lnTo>
                  <a:pt x="748042" y="16129"/>
                </a:lnTo>
                <a:lnTo>
                  <a:pt x="748042" y="63842"/>
                </a:lnTo>
                <a:lnTo>
                  <a:pt x="725652" y="63842"/>
                </a:lnTo>
                <a:lnTo>
                  <a:pt x="725652" y="112268"/>
                </a:lnTo>
                <a:lnTo>
                  <a:pt x="748042" y="112268"/>
                </a:lnTo>
                <a:lnTo>
                  <a:pt x="748042" y="189623"/>
                </a:lnTo>
                <a:lnTo>
                  <a:pt x="748868" y="204914"/>
                </a:lnTo>
                <a:lnTo>
                  <a:pt x="769912" y="245122"/>
                </a:lnTo>
                <a:lnTo>
                  <a:pt x="807999" y="253974"/>
                </a:lnTo>
                <a:lnTo>
                  <a:pt x="815327" y="253834"/>
                </a:lnTo>
                <a:lnTo>
                  <a:pt x="858558" y="243852"/>
                </a:lnTo>
                <a:lnTo>
                  <a:pt x="858558" y="196862"/>
                </a:lnTo>
                <a:close/>
              </a:path>
              <a:path w="1049020" h="254000">
                <a:moveTo>
                  <a:pt x="1048600" y="146761"/>
                </a:moveTo>
                <a:lnTo>
                  <a:pt x="1013637" y="74002"/>
                </a:lnTo>
                <a:lnTo>
                  <a:pt x="991374" y="65468"/>
                </a:lnTo>
                <a:lnTo>
                  <a:pt x="991374" y="125895"/>
                </a:lnTo>
                <a:lnTo>
                  <a:pt x="991374" y="135242"/>
                </a:lnTo>
                <a:lnTo>
                  <a:pt x="937044" y="135242"/>
                </a:lnTo>
                <a:lnTo>
                  <a:pt x="937564" y="127457"/>
                </a:lnTo>
                <a:lnTo>
                  <a:pt x="937666" y="125895"/>
                </a:lnTo>
                <a:lnTo>
                  <a:pt x="957326" y="105740"/>
                </a:lnTo>
                <a:lnTo>
                  <a:pt x="972540" y="105740"/>
                </a:lnTo>
                <a:lnTo>
                  <a:pt x="979055" y="107899"/>
                </a:lnTo>
                <a:lnTo>
                  <a:pt x="984135" y="113665"/>
                </a:lnTo>
                <a:lnTo>
                  <a:pt x="988479" y="118694"/>
                </a:lnTo>
                <a:lnTo>
                  <a:pt x="991374" y="125895"/>
                </a:lnTo>
                <a:lnTo>
                  <a:pt x="991374" y="65468"/>
                </a:lnTo>
                <a:lnTo>
                  <a:pt x="981824" y="63195"/>
                </a:lnTo>
                <a:lnTo>
                  <a:pt x="962393" y="61849"/>
                </a:lnTo>
                <a:lnTo>
                  <a:pt x="941895" y="63461"/>
                </a:lnTo>
                <a:lnTo>
                  <a:pt x="895743" y="87033"/>
                </a:lnTo>
                <a:lnTo>
                  <a:pt x="873328" y="137020"/>
                </a:lnTo>
                <a:lnTo>
                  <a:pt x="871842" y="158991"/>
                </a:lnTo>
                <a:lnTo>
                  <a:pt x="873455" y="180733"/>
                </a:lnTo>
                <a:lnTo>
                  <a:pt x="897191" y="229501"/>
                </a:lnTo>
                <a:lnTo>
                  <a:pt x="946708" y="252463"/>
                </a:lnTo>
                <a:lnTo>
                  <a:pt x="968197" y="253961"/>
                </a:lnTo>
                <a:lnTo>
                  <a:pt x="978763" y="253822"/>
                </a:lnTo>
                <a:lnTo>
                  <a:pt x="1021613" y="247396"/>
                </a:lnTo>
                <a:lnTo>
                  <a:pt x="1036294" y="241020"/>
                </a:lnTo>
                <a:lnTo>
                  <a:pt x="1029106" y="208635"/>
                </a:lnTo>
                <a:lnTo>
                  <a:pt x="1026871" y="198564"/>
                </a:lnTo>
                <a:lnTo>
                  <a:pt x="984173" y="208394"/>
                </a:lnTo>
                <a:lnTo>
                  <a:pt x="976160" y="208635"/>
                </a:lnTo>
                <a:lnTo>
                  <a:pt x="967447" y="208102"/>
                </a:lnTo>
                <a:lnTo>
                  <a:pt x="936688" y="182702"/>
                </a:lnTo>
                <a:lnTo>
                  <a:pt x="935596" y="175539"/>
                </a:lnTo>
                <a:lnTo>
                  <a:pt x="1048600" y="175539"/>
                </a:lnTo>
                <a:lnTo>
                  <a:pt x="1048600" y="146761"/>
                </a:lnTo>
                <a:close/>
              </a:path>
            </a:pathLst>
          </a:custGeom>
          <a:solidFill>
            <a:srgbClr val="FFFFFF"/>
          </a:solidFill>
        </xdr:spPr>
        <xdr:txBody>
          <a:bodyPr wrap="square" lIns="0" tIns="0" rIns="0" bIns="0" rtlCol="0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/>
          </a:p>
        </xdr:txBody>
      </xdr:sp>
    </xdr:grp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0</xdr:rowOff>
    </xdr:from>
    <xdr:to>
      <xdr:col>7</xdr:col>
      <xdr:colOff>863788</xdr:colOff>
      <xdr:row>2</xdr:row>
      <xdr:rowOff>2614</xdr:rowOff>
    </xdr:to>
    <xdr:grpSp>
      <xdr:nvGrpSpPr>
        <xdr:cNvPr id="2" name="object 4">
          <a:extLst>
            <a:ext uri="{FF2B5EF4-FFF2-40B4-BE49-F238E27FC236}">
              <a16:creationId xmlns:a16="http://schemas.microsoft.com/office/drawing/2014/main" id="{7FF97DCF-27C3-40A3-84EB-6B4E9922DFA5}"/>
            </a:ext>
          </a:extLst>
        </xdr:cNvPr>
        <xdr:cNvGrpSpPr>
          <a:grpSpLocks noChangeAspect="1"/>
        </xdr:cNvGrpSpPr>
      </xdr:nvGrpSpPr>
      <xdr:grpSpPr>
        <a:xfrm>
          <a:off x="0" y="0"/>
          <a:ext cx="10074463" cy="631264"/>
          <a:chOff x="0" y="0"/>
          <a:chExt cx="12191999" cy="783830"/>
        </a:xfrm>
      </xdr:grpSpPr>
      <xdr:pic>
        <xdr:nvPicPr>
          <xdr:cNvPr id="4" name="object 5">
            <a:extLst>
              <a:ext uri="{FF2B5EF4-FFF2-40B4-BE49-F238E27FC236}">
                <a16:creationId xmlns:a16="http://schemas.microsoft.com/office/drawing/2014/main" id="{3151C549-9249-8F41-7ED3-CBC8BFF14B81}"/>
              </a:ext>
            </a:extLst>
          </xdr:cNvPr>
          <xdr:cNvPicPr/>
        </xdr:nvPicPr>
        <xdr:blipFill>
          <a:blip xmlns:r="http://schemas.openxmlformats.org/officeDocument/2006/relationships" r:embed="rId1" cstate="print"/>
          <a:stretch>
            <a:fillRect/>
          </a:stretch>
        </xdr:blipFill>
        <xdr:spPr>
          <a:xfrm>
            <a:off x="0" y="0"/>
            <a:ext cx="12191999" cy="783830"/>
          </a:xfrm>
          <a:prstGeom prst="rect">
            <a:avLst/>
          </a:prstGeom>
        </xdr:spPr>
      </xdr:pic>
      <xdr:pic>
        <xdr:nvPicPr>
          <xdr:cNvPr id="5" name="object 6">
            <a:extLst>
              <a:ext uri="{FF2B5EF4-FFF2-40B4-BE49-F238E27FC236}">
                <a16:creationId xmlns:a16="http://schemas.microsoft.com/office/drawing/2014/main" id="{8896F34B-8035-CF01-3A85-3D2E9434B915}"/>
              </a:ext>
            </a:extLst>
          </xdr:cNvPr>
          <xdr:cNvPicPr/>
        </xdr:nvPicPr>
        <xdr:blipFill>
          <a:blip xmlns:r="http://schemas.openxmlformats.org/officeDocument/2006/relationships" r:embed="rId2" cstate="print"/>
          <a:stretch>
            <a:fillRect/>
          </a:stretch>
        </xdr:blipFill>
        <xdr:spPr>
          <a:xfrm>
            <a:off x="10431602" y="325336"/>
            <a:ext cx="1106233" cy="188962"/>
          </a:xfrm>
          <a:prstGeom prst="rect">
            <a:avLst/>
          </a:prstGeom>
        </xdr:spPr>
      </xdr:pic>
      <xdr:sp macro="" textlink="">
        <xdr:nvSpPr>
          <xdr:cNvPr id="6" name="object 7">
            <a:extLst>
              <a:ext uri="{FF2B5EF4-FFF2-40B4-BE49-F238E27FC236}">
                <a16:creationId xmlns:a16="http://schemas.microsoft.com/office/drawing/2014/main" id="{8E590244-AADC-52FE-D26A-E547D1DA235C}"/>
              </a:ext>
            </a:extLst>
          </xdr:cNvPr>
          <xdr:cNvSpPr/>
        </xdr:nvSpPr>
        <xdr:spPr>
          <a:xfrm>
            <a:off x="1863631" y="494630"/>
            <a:ext cx="73660" cy="72390"/>
          </a:xfrm>
          <a:custGeom>
            <a:avLst/>
            <a:gdLst/>
            <a:ahLst/>
            <a:cxnLst/>
            <a:rect l="l" t="t" r="r" b="b"/>
            <a:pathLst>
              <a:path w="73660" h="72390">
                <a:moveTo>
                  <a:pt x="36550" y="0"/>
                </a:moveTo>
                <a:lnTo>
                  <a:pt x="22326" y="2844"/>
                </a:lnTo>
                <a:lnTo>
                  <a:pt x="10706" y="10591"/>
                </a:lnTo>
                <a:lnTo>
                  <a:pt x="2870" y="22098"/>
                </a:lnTo>
                <a:lnTo>
                  <a:pt x="0" y="36182"/>
                </a:lnTo>
                <a:lnTo>
                  <a:pt x="2870" y="50266"/>
                </a:lnTo>
                <a:lnTo>
                  <a:pt x="10706" y="61772"/>
                </a:lnTo>
                <a:lnTo>
                  <a:pt x="22326" y="69519"/>
                </a:lnTo>
                <a:lnTo>
                  <a:pt x="36550" y="72364"/>
                </a:lnTo>
                <a:lnTo>
                  <a:pt x="50774" y="69519"/>
                </a:lnTo>
                <a:lnTo>
                  <a:pt x="62395" y="61772"/>
                </a:lnTo>
                <a:lnTo>
                  <a:pt x="70231" y="50266"/>
                </a:lnTo>
                <a:lnTo>
                  <a:pt x="73101" y="36182"/>
                </a:lnTo>
                <a:lnTo>
                  <a:pt x="70231" y="22098"/>
                </a:lnTo>
                <a:lnTo>
                  <a:pt x="62395" y="10591"/>
                </a:lnTo>
                <a:lnTo>
                  <a:pt x="50774" y="2844"/>
                </a:lnTo>
                <a:lnTo>
                  <a:pt x="36550" y="0"/>
                </a:lnTo>
                <a:close/>
              </a:path>
            </a:pathLst>
          </a:custGeom>
          <a:solidFill>
            <a:srgbClr val="C1DE54"/>
          </a:solidFill>
        </xdr:spPr>
        <xdr:txBody>
          <a:bodyPr wrap="square" lIns="0" tIns="0" rIns="0" bIns="0" rtlCol="0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/>
          </a:p>
        </xdr:txBody>
      </xdr:sp>
      <xdr:sp macro="" textlink="">
        <xdr:nvSpPr>
          <xdr:cNvPr id="7" name="object 8">
            <a:extLst>
              <a:ext uri="{FF2B5EF4-FFF2-40B4-BE49-F238E27FC236}">
                <a16:creationId xmlns:a16="http://schemas.microsoft.com/office/drawing/2014/main" id="{754C0002-1B4D-C6B7-1907-179F32ACAD93}"/>
              </a:ext>
            </a:extLst>
          </xdr:cNvPr>
          <xdr:cNvSpPr/>
        </xdr:nvSpPr>
        <xdr:spPr>
          <a:xfrm>
            <a:off x="574459" y="311721"/>
            <a:ext cx="488315" cy="251460"/>
          </a:xfrm>
          <a:custGeom>
            <a:avLst/>
            <a:gdLst/>
            <a:ahLst/>
            <a:cxnLst/>
            <a:rect l="l" t="t" r="r" b="b"/>
            <a:pathLst>
              <a:path w="488315" h="251459">
                <a:moveTo>
                  <a:pt x="207327" y="120929"/>
                </a:moveTo>
                <a:lnTo>
                  <a:pt x="199288" y="70129"/>
                </a:lnTo>
                <a:lnTo>
                  <a:pt x="175539" y="32308"/>
                </a:lnTo>
                <a:lnTo>
                  <a:pt x="138696" y="10261"/>
                </a:lnTo>
                <a:lnTo>
                  <a:pt x="138696" y="123812"/>
                </a:lnTo>
                <a:lnTo>
                  <a:pt x="137871" y="140970"/>
                </a:lnTo>
                <a:lnTo>
                  <a:pt x="124968" y="177850"/>
                </a:lnTo>
                <a:lnTo>
                  <a:pt x="80187" y="195859"/>
                </a:lnTo>
                <a:lnTo>
                  <a:pt x="65735" y="195859"/>
                </a:lnTo>
                <a:lnTo>
                  <a:pt x="65735" y="56083"/>
                </a:lnTo>
                <a:lnTo>
                  <a:pt x="85242" y="56083"/>
                </a:lnTo>
                <a:lnTo>
                  <a:pt x="125691" y="72656"/>
                </a:lnTo>
                <a:lnTo>
                  <a:pt x="138696" y="123812"/>
                </a:lnTo>
                <a:lnTo>
                  <a:pt x="138696" y="10261"/>
                </a:lnTo>
                <a:lnTo>
                  <a:pt x="136525" y="9258"/>
                </a:lnTo>
                <a:lnTo>
                  <a:pt x="112141" y="3340"/>
                </a:lnTo>
                <a:lnTo>
                  <a:pt x="84518" y="1333"/>
                </a:lnTo>
                <a:lnTo>
                  <a:pt x="0" y="1333"/>
                </a:lnTo>
                <a:lnTo>
                  <a:pt x="0" y="251333"/>
                </a:lnTo>
                <a:lnTo>
                  <a:pt x="78740" y="251333"/>
                </a:lnTo>
                <a:lnTo>
                  <a:pt x="132816" y="242785"/>
                </a:lnTo>
                <a:lnTo>
                  <a:pt x="173380" y="217474"/>
                </a:lnTo>
                <a:lnTo>
                  <a:pt x="198742" y="176491"/>
                </a:lnTo>
                <a:lnTo>
                  <a:pt x="205168" y="150495"/>
                </a:lnTo>
                <a:lnTo>
                  <a:pt x="207327" y="120929"/>
                </a:lnTo>
                <a:close/>
              </a:path>
              <a:path w="488315" h="251459">
                <a:moveTo>
                  <a:pt x="487768" y="0"/>
                </a:moveTo>
                <a:lnTo>
                  <a:pt x="425297" y="0"/>
                </a:lnTo>
                <a:lnTo>
                  <a:pt x="425297" y="251320"/>
                </a:lnTo>
                <a:lnTo>
                  <a:pt x="487768" y="251320"/>
                </a:lnTo>
                <a:lnTo>
                  <a:pt x="487768" y="0"/>
                </a:lnTo>
                <a:close/>
              </a:path>
            </a:pathLst>
          </a:custGeom>
          <a:solidFill>
            <a:srgbClr val="FFFFFF"/>
          </a:solidFill>
        </xdr:spPr>
        <xdr:txBody>
          <a:bodyPr wrap="square" lIns="0" tIns="0" rIns="0" bIns="0" rtlCol="0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/>
          </a:p>
        </xdr:txBody>
      </xdr:sp>
      <xdr:pic>
        <xdr:nvPicPr>
          <xdr:cNvPr id="8" name="object 9">
            <a:extLst>
              <a:ext uri="{FF2B5EF4-FFF2-40B4-BE49-F238E27FC236}">
                <a16:creationId xmlns:a16="http://schemas.microsoft.com/office/drawing/2014/main" id="{EBC41AE4-7A0F-7643-0FDB-9249D70807F8}"/>
              </a:ext>
            </a:extLst>
          </xdr:cNvPr>
          <xdr:cNvPicPr/>
        </xdr:nvPicPr>
        <xdr:blipFill>
          <a:blip xmlns:r="http://schemas.openxmlformats.org/officeDocument/2006/relationships" r:embed="rId3" cstate="print"/>
          <a:stretch>
            <a:fillRect/>
          </a:stretch>
        </xdr:blipFill>
        <xdr:spPr>
          <a:xfrm>
            <a:off x="1087475" y="373583"/>
            <a:ext cx="180743" cy="192100"/>
          </a:xfrm>
          <a:prstGeom prst="rect">
            <a:avLst/>
          </a:prstGeom>
        </xdr:spPr>
      </xdr:pic>
      <xdr:sp macro="" textlink="">
        <xdr:nvSpPr>
          <xdr:cNvPr id="9" name="object 10">
            <a:extLst>
              <a:ext uri="{FF2B5EF4-FFF2-40B4-BE49-F238E27FC236}">
                <a16:creationId xmlns:a16="http://schemas.microsoft.com/office/drawing/2014/main" id="{238EB0F8-5E61-B442-8412-ACA26601DFC9}"/>
              </a:ext>
            </a:extLst>
          </xdr:cNvPr>
          <xdr:cNvSpPr/>
        </xdr:nvSpPr>
        <xdr:spPr>
          <a:xfrm>
            <a:off x="800392" y="311721"/>
            <a:ext cx="1049020" cy="254000"/>
          </a:xfrm>
          <a:custGeom>
            <a:avLst/>
            <a:gdLst/>
            <a:ahLst/>
            <a:cxnLst/>
            <a:rect l="l" t="t" r="r" b="b"/>
            <a:pathLst>
              <a:path w="1049020" h="254000">
                <a:moveTo>
                  <a:pt x="175425" y="146761"/>
                </a:moveTo>
                <a:lnTo>
                  <a:pt x="174739" y="137020"/>
                </a:lnTo>
                <a:lnTo>
                  <a:pt x="174612" y="135242"/>
                </a:lnTo>
                <a:lnTo>
                  <a:pt x="174066" y="127457"/>
                </a:lnTo>
                <a:lnTo>
                  <a:pt x="153047" y="83439"/>
                </a:lnTo>
                <a:lnTo>
                  <a:pt x="118389" y="65468"/>
                </a:lnTo>
                <a:lnTo>
                  <a:pt x="118389" y="125895"/>
                </a:lnTo>
                <a:lnTo>
                  <a:pt x="118389" y="135242"/>
                </a:lnTo>
                <a:lnTo>
                  <a:pt x="64249" y="135242"/>
                </a:lnTo>
                <a:lnTo>
                  <a:pt x="65697" y="124447"/>
                </a:lnTo>
                <a:lnTo>
                  <a:pt x="68580" y="117259"/>
                </a:lnTo>
                <a:lnTo>
                  <a:pt x="77965" y="107899"/>
                </a:lnTo>
                <a:lnTo>
                  <a:pt x="84467" y="105740"/>
                </a:lnTo>
                <a:lnTo>
                  <a:pt x="99618" y="105740"/>
                </a:lnTo>
                <a:lnTo>
                  <a:pt x="106121" y="107899"/>
                </a:lnTo>
                <a:lnTo>
                  <a:pt x="111175" y="113665"/>
                </a:lnTo>
                <a:lnTo>
                  <a:pt x="115506" y="118694"/>
                </a:lnTo>
                <a:lnTo>
                  <a:pt x="118389" y="125895"/>
                </a:lnTo>
                <a:lnTo>
                  <a:pt x="118389" y="65468"/>
                </a:lnTo>
                <a:lnTo>
                  <a:pt x="108889" y="63195"/>
                </a:lnTo>
                <a:lnTo>
                  <a:pt x="89522" y="61849"/>
                </a:lnTo>
                <a:lnTo>
                  <a:pt x="69088" y="63461"/>
                </a:lnTo>
                <a:lnTo>
                  <a:pt x="23101" y="87033"/>
                </a:lnTo>
                <a:lnTo>
                  <a:pt x="1371" y="137020"/>
                </a:lnTo>
                <a:lnTo>
                  <a:pt x="0" y="158991"/>
                </a:lnTo>
                <a:lnTo>
                  <a:pt x="1511" y="180733"/>
                </a:lnTo>
                <a:lnTo>
                  <a:pt x="25260" y="229501"/>
                </a:lnTo>
                <a:lnTo>
                  <a:pt x="73888" y="252463"/>
                </a:lnTo>
                <a:lnTo>
                  <a:pt x="95288" y="253961"/>
                </a:lnTo>
                <a:lnTo>
                  <a:pt x="106133" y="253822"/>
                </a:lnTo>
                <a:lnTo>
                  <a:pt x="148628" y="247396"/>
                </a:lnTo>
                <a:lnTo>
                  <a:pt x="163880" y="241020"/>
                </a:lnTo>
                <a:lnTo>
                  <a:pt x="156159" y="208635"/>
                </a:lnTo>
                <a:lnTo>
                  <a:pt x="153771" y="198564"/>
                </a:lnTo>
                <a:lnTo>
                  <a:pt x="111226" y="208394"/>
                </a:lnTo>
                <a:lnTo>
                  <a:pt x="103238" y="208635"/>
                </a:lnTo>
                <a:lnTo>
                  <a:pt x="94564" y="208102"/>
                </a:lnTo>
                <a:lnTo>
                  <a:pt x="64198" y="182702"/>
                </a:lnTo>
                <a:lnTo>
                  <a:pt x="63525" y="175539"/>
                </a:lnTo>
                <a:lnTo>
                  <a:pt x="175425" y="175539"/>
                </a:lnTo>
                <a:lnTo>
                  <a:pt x="175425" y="146761"/>
                </a:lnTo>
                <a:close/>
              </a:path>
              <a:path w="1049020" h="254000">
                <a:moveTo>
                  <a:pt x="555548" y="64477"/>
                </a:moveTo>
                <a:lnTo>
                  <a:pt x="493077" y="64477"/>
                </a:lnTo>
                <a:lnTo>
                  <a:pt x="493077" y="251320"/>
                </a:lnTo>
                <a:lnTo>
                  <a:pt x="555548" y="251320"/>
                </a:lnTo>
                <a:lnTo>
                  <a:pt x="555548" y="64477"/>
                </a:lnTo>
                <a:close/>
              </a:path>
              <a:path w="1049020" h="254000">
                <a:moveTo>
                  <a:pt x="555548" y="0"/>
                </a:moveTo>
                <a:lnTo>
                  <a:pt x="493077" y="0"/>
                </a:lnTo>
                <a:lnTo>
                  <a:pt x="493077" y="42100"/>
                </a:lnTo>
                <a:lnTo>
                  <a:pt x="555548" y="42100"/>
                </a:lnTo>
                <a:lnTo>
                  <a:pt x="555548" y="0"/>
                </a:lnTo>
                <a:close/>
              </a:path>
              <a:path w="1049020" h="254000">
                <a:moveTo>
                  <a:pt x="713689" y="196862"/>
                </a:moveTo>
                <a:lnTo>
                  <a:pt x="704875" y="199707"/>
                </a:lnTo>
                <a:lnTo>
                  <a:pt x="696887" y="201739"/>
                </a:lnTo>
                <a:lnTo>
                  <a:pt x="689711" y="202958"/>
                </a:lnTo>
                <a:lnTo>
                  <a:pt x="683348" y="203365"/>
                </a:lnTo>
                <a:lnTo>
                  <a:pt x="671791" y="203365"/>
                </a:lnTo>
                <a:lnTo>
                  <a:pt x="666013" y="197586"/>
                </a:lnTo>
                <a:lnTo>
                  <a:pt x="666013" y="112268"/>
                </a:lnTo>
                <a:lnTo>
                  <a:pt x="706462" y="112268"/>
                </a:lnTo>
                <a:lnTo>
                  <a:pt x="706462" y="63842"/>
                </a:lnTo>
                <a:lnTo>
                  <a:pt x="666013" y="63842"/>
                </a:lnTo>
                <a:lnTo>
                  <a:pt x="666013" y="5283"/>
                </a:lnTo>
                <a:lnTo>
                  <a:pt x="602449" y="16840"/>
                </a:lnTo>
                <a:lnTo>
                  <a:pt x="602449" y="63842"/>
                </a:lnTo>
                <a:lnTo>
                  <a:pt x="580783" y="63842"/>
                </a:lnTo>
                <a:lnTo>
                  <a:pt x="580783" y="112268"/>
                </a:lnTo>
                <a:lnTo>
                  <a:pt x="602449" y="112268"/>
                </a:lnTo>
                <a:lnTo>
                  <a:pt x="602449" y="189623"/>
                </a:lnTo>
                <a:lnTo>
                  <a:pt x="603377" y="204914"/>
                </a:lnTo>
                <a:lnTo>
                  <a:pt x="625017" y="245122"/>
                </a:lnTo>
                <a:lnTo>
                  <a:pt x="662406" y="253974"/>
                </a:lnTo>
                <a:lnTo>
                  <a:pt x="669823" y="253834"/>
                </a:lnTo>
                <a:lnTo>
                  <a:pt x="713689" y="243852"/>
                </a:lnTo>
                <a:lnTo>
                  <a:pt x="713689" y="196862"/>
                </a:lnTo>
                <a:close/>
              </a:path>
              <a:path w="1049020" h="254000">
                <a:moveTo>
                  <a:pt x="858558" y="196862"/>
                </a:moveTo>
                <a:lnTo>
                  <a:pt x="850163" y="199707"/>
                </a:lnTo>
                <a:lnTo>
                  <a:pt x="842302" y="201739"/>
                </a:lnTo>
                <a:lnTo>
                  <a:pt x="834986" y="202958"/>
                </a:lnTo>
                <a:lnTo>
                  <a:pt x="828217" y="203365"/>
                </a:lnTo>
                <a:lnTo>
                  <a:pt x="817384" y="203365"/>
                </a:lnTo>
                <a:lnTo>
                  <a:pt x="811606" y="197586"/>
                </a:lnTo>
                <a:lnTo>
                  <a:pt x="811606" y="112268"/>
                </a:lnTo>
                <a:lnTo>
                  <a:pt x="851331" y="112268"/>
                </a:lnTo>
                <a:lnTo>
                  <a:pt x="851331" y="63842"/>
                </a:lnTo>
                <a:lnTo>
                  <a:pt x="811606" y="63842"/>
                </a:lnTo>
                <a:lnTo>
                  <a:pt x="811606" y="5283"/>
                </a:lnTo>
                <a:lnTo>
                  <a:pt x="748042" y="16129"/>
                </a:lnTo>
                <a:lnTo>
                  <a:pt x="748042" y="63842"/>
                </a:lnTo>
                <a:lnTo>
                  <a:pt x="725652" y="63842"/>
                </a:lnTo>
                <a:lnTo>
                  <a:pt x="725652" y="112268"/>
                </a:lnTo>
                <a:lnTo>
                  <a:pt x="748042" y="112268"/>
                </a:lnTo>
                <a:lnTo>
                  <a:pt x="748042" y="189623"/>
                </a:lnTo>
                <a:lnTo>
                  <a:pt x="748868" y="204914"/>
                </a:lnTo>
                <a:lnTo>
                  <a:pt x="769912" y="245122"/>
                </a:lnTo>
                <a:lnTo>
                  <a:pt x="807999" y="253974"/>
                </a:lnTo>
                <a:lnTo>
                  <a:pt x="815327" y="253834"/>
                </a:lnTo>
                <a:lnTo>
                  <a:pt x="858558" y="243852"/>
                </a:lnTo>
                <a:lnTo>
                  <a:pt x="858558" y="196862"/>
                </a:lnTo>
                <a:close/>
              </a:path>
              <a:path w="1049020" h="254000">
                <a:moveTo>
                  <a:pt x="1048600" y="146761"/>
                </a:moveTo>
                <a:lnTo>
                  <a:pt x="1013637" y="74002"/>
                </a:lnTo>
                <a:lnTo>
                  <a:pt x="991374" y="65468"/>
                </a:lnTo>
                <a:lnTo>
                  <a:pt x="991374" y="125895"/>
                </a:lnTo>
                <a:lnTo>
                  <a:pt x="991374" y="135242"/>
                </a:lnTo>
                <a:lnTo>
                  <a:pt x="937044" y="135242"/>
                </a:lnTo>
                <a:lnTo>
                  <a:pt x="937564" y="127457"/>
                </a:lnTo>
                <a:lnTo>
                  <a:pt x="937666" y="125895"/>
                </a:lnTo>
                <a:lnTo>
                  <a:pt x="957326" y="105740"/>
                </a:lnTo>
                <a:lnTo>
                  <a:pt x="972540" y="105740"/>
                </a:lnTo>
                <a:lnTo>
                  <a:pt x="979055" y="107899"/>
                </a:lnTo>
                <a:lnTo>
                  <a:pt x="984135" y="113665"/>
                </a:lnTo>
                <a:lnTo>
                  <a:pt x="988479" y="118694"/>
                </a:lnTo>
                <a:lnTo>
                  <a:pt x="991374" y="125895"/>
                </a:lnTo>
                <a:lnTo>
                  <a:pt x="991374" y="65468"/>
                </a:lnTo>
                <a:lnTo>
                  <a:pt x="981824" y="63195"/>
                </a:lnTo>
                <a:lnTo>
                  <a:pt x="962393" y="61849"/>
                </a:lnTo>
                <a:lnTo>
                  <a:pt x="941895" y="63461"/>
                </a:lnTo>
                <a:lnTo>
                  <a:pt x="895743" y="87033"/>
                </a:lnTo>
                <a:lnTo>
                  <a:pt x="873328" y="137020"/>
                </a:lnTo>
                <a:lnTo>
                  <a:pt x="871842" y="158991"/>
                </a:lnTo>
                <a:lnTo>
                  <a:pt x="873455" y="180733"/>
                </a:lnTo>
                <a:lnTo>
                  <a:pt x="897191" y="229501"/>
                </a:lnTo>
                <a:lnTo>
                  <a:pt x="946708" y="252463"/>
                </a:lnTo>
                <a:lnTo>
                  <a:pt x="968197" y="253961"/>
                </a:lnTo>
                <a:lnTo>
                  <a:pt x="978763" y="253822"/>
                </a:lnTo>
                <a:lnTo>
                  <a:pt x="1021613" y="247396"/>
                </a:lnTo>
                <a:lnTo>
                  <a:pt x="1036294" y="241020"/>
                </a:lnTo>
                <a:lnTo>
                  <a:pt x="1029106" y="208635"/>
                </a:lnTo>
                <a:lnTo>
                  <a:pt x="1026871" y="198564"/>
                </a:lnTo>
                <a:lnTo>
                  <a:pt x="984173" y="208394"/>
                </a:lnTo>
                <a:lnTo>
                  <a:pt x="976160" y="208635"/>
                </a:lnTo>
                <a:lnTo>
                  <a:pt x="967447" y="208102"/>
                </a:lnTo>
                <a:lnTo>
                  <a:pt x="936688" y="182702"/>
                </a:lnTo>
                <a:lnTo>
                  <a:pt x="935596" y="175539"/>
                </a:lnTo>
                <a:lnTo>
                  <a:pt x="1048600" y="175539"/>
                </a:lnTo>
                <a:lnTo>
                  <a:pt x="1048600" y="146761"/>
                </a:lnTo>
                <a:close/>
              </a:path>
            </a:pathLst>
          </a:custGeom>
          <a:solidFill>
            <a:srgbClr val="FFFFFF"/>
          </a:solidFill>
        </xdr:spPr>
        <xdr:txBody>
          <a:bodyPr wrap="square" lIns="0" tIns="0" rIns="0" bIns="0" rtlCol="0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/>
          </a:p>
        </xdr:txBody>
      </xdr:sp>
    </xdr:grp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Chedraui, Ernesto" id="{FF257BE9-1573-419E-AC5C-36A46AE67690}" userId="echedraui@deloitte.com" providerId="PeoplePicker"/>
  <person displayName="Moyano, Claire" id="{8DB21B64-BCA8-4FAA-996B-B39D120037BE}" userId="S::clairemoyano@deloitte.com::6477a44f-27ac-4ae7-8bdb-4ac73b5f8ab0" providerId="AD"/>
</personList>
</file>

<file path=xl/theme/theme1.xml><?xml version="1.0" encoding="utf-8"?>
<a:theme xmlns:a="http://schemas.openxmlformats.org/drawingml/2006/main" name="Office Theme">
  <a:themeElements>
    <a:clrScheme name="Deloitte US Color1">
      <a:dk1>
        <a:sysClr val="windowText" lastClr="000000"/>
      </a:dk1>
      <a:lt1>
        <a:sysClr val="window" lastClr="FFFFFF"/>
      </a:lt1>
      <a:dk2>
        <a:srgbClr val="53565A"/>
      </a:dk2>
      <a:lt2>
        <a:srgbClr val="D0D0CE"/>
      </a:lt2>
      <a:accent1>
        <a:srgbClr val="86BC25"/>
      </a:accent1>
      <a:accent2>
        <a:srgbClr val="046A38"/>
      </a:accent2>
      <a:accent3>
        <a:srgbClr val="62B5E5"/>
      </a:accent3>
      <a:accent4>
        <a:srgbClr val="012169"/>
      </a:accent4>
      <a:accent5>
        <a:srgbClr val="0097A9"/>
      </a:accent5>
      <a:accent6>
        <a:srgbClr val="75787B"/>
      </a:accent6>
      <a:hlink>
        <a:srgbClr val="00A3E0"/>
      </a:hlink>
      <a:folHlink>
        <a:srgbClr val="53565A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10" dT="2026-05-01T17:44:50.21" personId="{8DB21B64-BCA8-4FAA-996B-B39D120037BE}" id="{67978FCE-7A95-47A6-A5AA-EB274F7DEFB4}" done="1">
    <text xml:space="preserve">@Chedraui, Ernesto Please update. Round 1 is the 30 minute 1:1 Behavioral Screening. If candidate passes, then given a take home assignment to prepare for the next interview (Round 2) </text>
    <mentions>
      <mention mentionpersonId="{FF257BE9-1573-419E-AC5C-36A46AE67690}" mentionId="{E13EB616-FAA6-4855-BD7B-4AA00335D09B}" startIndex="0" length="18"/>
    </mentions>
  </threadedComment>
  <threadedComment ref="B11" dT="2026-05-01T17:46:59.69" personId="{8DB21B64-BCA8-4FAA-996B-B39D120037BE}" id="{C754887F-5BCC-49AB-B84B-B9296C2D2BAD}" done="1">
    <text>@Chedraui, Ernesto Please update. Round 2 is Panel interview to review the solution the candidate has built, test their approach and problem solving skills, and very importantly understand their technical abilities on a specific platform. 
Panel consists of minimum of two and up to three members for this second interview:
1) Original interviewer from behavioral screening or another PMD/SM interviewer from table below 
2) Platform CTO or another platform specific PMD/SM SME (e.g. Databricks Engineer for Databricks FDE candidate or Anthropic/Claude proficient AI Engineer for Frontier AI FDE candidate)
3) Domain specialist (e.g. life sciences sector specialist, supply chain SME… if relevant)</text>
    <mentions>
      <mention mentionpersonId="{FF257BE9-1573-419E-AC5C-36A46AE67690}" mentionId="{160D6A25-B587-4772-9F54-5B1B861238EF}" startIndex="0" length="18"/>
    </mentions>
  </threadedComment>
  <threadedComment ref="B12" dT="2026-05-01T17:48:15.99" personId="{8DB21B64-BCA8-4FAA-996B-B39D120037BE}" id="{A5FC992E-02D5-405A-BDD7-92522B6457EF}" done="1">
    <text>@Chedraui, Ernesto Please update. Round 3 is the final 1:1 interview with a Senior FDE Leader to confirm ability to shape, sell and deliver - overall fit. </text>
    <mentions>
      <mention mentionpersonId="{FF257BE9-1573-419E-AC5C-36A46AE67690}" mentionId="{52FA2669-6E3B-477D-B14D-7FBA1CC5E166}" startIndex="0" length="18"/>
    </mentions>
  </threadedComment>
</ThreadedComments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629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7CD951DB-D7D0-4836-B8A3-B9DCC39DF43B}">
  <we:reference id="29673e3c-d826-4f00-92ee-162334a52b1a" version="1.0.0.8" store="EXCatalog" storeType="EXCatalog"/>
  <we:alternateReferences>
    <we:reference id="WA200009404" version="1.0.0.8" store="en-US" storeType="OMEX"/>
  </we:alternateReferences>
  <we:properties>
    <we:property name="claude.fileId" value="&quot;819de3a3-2f05-4686-8683-b108b359782f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hyperlink" Target="../../../../../:f:/r/sites/ForwardDeployedModel-DesignTeam-FDEOrderBoard/Shared%20Documents/FDE%20Recruiting%20Management/FDE%20Interviews/FDE%20Round%201%20Interview%20Content?csf=1&amp;web=1&amp;e=pPJqAw" TargetMode="External"/><Relationship Id="rId1" Type="http://schemas.openxmlformats.org/officeDocument/2006/relationships/hyperlink" Target="../../../../../:f:/r/sites/ForwardDeployedModel-DesignTeam-FDEOrderBoard/Shared%20Documents/FDE%20Recruiting%20Management/FDE%20Interviews/FDE%20Round%202%20Interview%20Content?csf=1&amp;web=1&amp;e=yg2cE7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5.xml"/><Relationship Id="rId5" Type="http://schemas.microsoft.com/office/2019/04/relationships/documenttask" Target="../documenttasks/documenttask1.xml"/><Relationship Id="rId4" Type="http://schemas.microsoft.com/office/2017/10/relationships/threadedComment" Target="../threadedComments/threadedComment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1"/>
    <pageSetUpPr fitToPage="1"/>
  </sheetPr>
  <dimension ref="A1:N43"/>
  <sheetViews>
    <sheetView showGridLines="0" zoomScale="85" zoomScaleNormal="85" workbookViewId="0">
      <selection activeCell="E14" sqref="E14"/>
    </sheetView>
  </sheetViews>
  <sheetFormatPr defaultColWidth="8.42578125" defaultRowHeight="14.1"/>
  <cols>
    <col min="1" max="1" width="4" style="43" customWidth="1"/>
    <col min="2" max="2" width="21.28515625" style="43" bestFit="1" customWidth="1"/>
    <col min="3" max="7" width="14" style="43" customWidth="1"/>
    <col min="8" max="8" width="20.140625" style="43" customWidth="1"/>
    <col min="9" max="10" width="14" style="43" customWidth="1"/>
    <col min="11" max="11" width="18.28515625" style="43" customWidth="1"/>
    <col min="12" max="13" width="14" style="43" customWidth="1"/>
    <col min="14" max="14" width="4" style="43" customWidth="1"/>
    <col min="15" max="16384" width="8.42578125" style="43"/>
  </cols>
  <sheetData>
    <row r="1" spans="1:14" s="1" customFormat="1" ht="24.95" customHeight="1">
      <c r="A1" s="1" t="s">
        <v>0</v>
      </c>
    </row>
    <row r="2" spans="1:14" s="2" customFormat="1" ht="24.95" customHeight="1"/>
    <row r="3" spans="1:14" ht="3.75" customHeight="1">
      <c r="A3" s="111"/>
      <c r="B3" s="111"/>
      <c r="C3" s="111"/>
      <c r="D3" s="111"/>
      <c r="E3" s="111"/>
      <c r="F3" s="111"/>
      <c r="G3" s="111"/>
      <c r="H3" s="111"/>
      <c r="I3" s="111"/>
      <c r="J3" s="111"/>
      <c r="K3" s="111"/>
      <c r="L3" s="111"/>
      <c r="M3" s="111"/>
      <c r="N3" s="111"/>
    </row>
    <row r="4" spans="1:14" ht="21.75" customHeight="1">
      <c r="B4" s="98" t="s">
        <v>1</v>
      </c>
      <c r="C4" s="98"/>
      <c r="D4" s="98"/>
      <c r="E4" s="98"/>
      <c r="F4" s="98"/>
      <c r="G4" s="98"/>
      <c r="J4" s="99" t="s">
        <v>2</v>
      </c>
      <c r="K4" s="99"/>
      <c r="L4" s="99"/>
      <c r="M4" s="99"/>
    </row>
    <row r="5" spans="1:14" ht="21.75" customHeight="1">
      <c r="B5" s="98"/>
      <c r="C5" s="98"/>
      <c r="D5" s="98"/>
      <c r="E5" s="98"/>
      <c r="F5" s="98"/>
      <c r="G5" s="98"/>
      <c r="J5" s="100">
        <f ca="1">TODAY()</f>
        <v>46146</v>
      </c>
      <c r="K5" s="100"/>
      <c r="L5" s="100"/>
      <c r="M5" s="100"/>
    </row>
    <row r="6" spans="1:14" ht="7.5" customHeight="1"/>
    <row r="7" spans="1:14" ht="21.75" customHeight="1">
      <c r="B7" s="101" t="s">
        <v>3</v>
      </c>
      <c r="C7" s="101"/>
      <c r="D7" s="101"/>
      <c r="E7" s="102" t="s">
        <v>4</v>
      </c>
      <c r="F7" s="102"/>
      <c r="G7" s="102"/>
      <c r="H7" s="103" t="s">
        <v>5</v>
      </c>
      <c r="I7" s="103"/>
      <c r="J7" s="103"/>
      <c r="K7" s="104" t="s">
        <v>6</v>
      </c>
      <c r="L7" s="104"/>
      <c r="M7" s="104"/>
    </row>
    <row r="8" spans="1:14" ht="49.5" customHeight="1">
      <c r="B8" s="105">
        <f>COUNTIF('Candidate Tracker'!$Z$8:$Z$256,"Active")</f>
        <v>63</v>
      </c>
      <c r="C8" s="105"/>
      <c r="D8" s="105"/>
      <c r="E8" s="105">
        <f>COUNTIF('Candidate Tracker'!$Y$8:$Y$256,"Round 1 - Invite")+COUNTIF('Candidate Tracker'!$Y$8:$Y$256,"Round 1 - Conducted")+COUNTIF('Candidate Tracker'!$Y$8:$Y$256,"Round 2 - Invite")+COUNTIF('Candidate Tracker'!$Y$8:$Y$256,"Round 2 - Conducted")+COUNTIF('Candidate Tracker'!$Y$8:$Y$256,"Round 3 - Invite")+COUNTIF('Candidate Tracker'!$Y$8:$Y$256,"Round 3 - Conducted")</f>
        <v>29</v>
      </c>
      <c r="F8" s="105"/>
      <c r="G8" s="105"/>
      <c r="H8" s="105">
        <f>COUNTIF('Candidate Tracker'!$Y$8:$Y$256,"Offer Extended")</f>
        <v>0</v>
      </c>
      <c r="I8" s="105"/>
      <c r="J8" s="105"/>
      <c r="K8" s="105">
        <f>COUNTIF('Candidate Tracker'!$Y$8:$Y$256,"Hired and Ready to Onboard")</f>
        <v>1</v>
      </c>
      <c r="L8" s="105"/>
      <c r="M8" s="105"/>
    </row>
    <row r="9" spans="1:14" ht="18" customHeight="1">
      <c r="B9" s="106" t="str">
        <f>"of "&amp;COUNTA('Candidate Tracker'!$C$8:$C$256)&amp;" total in tracker"</f>
        <v>of 65 total in tracker</v>
      </c>
      <c r="C9" s="106"/>
      <c r="D9" s="106"/>
      <c r="E9" s="106" t="s">
        <v>7</v>
      </c>
      <c r="F9" s="106"/>
      <c r="G9" s="106"/>
      <c r="H9" s="106" t="s">
        <v>8</v>
      </c>
      <c r="I9" s="106"/>
      <c r="J9" s="106"/>
      <c r="K9" s="106" t="s">
        <v>9</v>
      </c>
      <c r="L9" s="106"/>
      <c r="M9" s="106"/>
    </row>
    <row r="10" spans="1:14" ht="12" customHeight="1"/>
    <row r="11" spans="1:14" ht="21.75" customHeight="1">
      <c r="B11" s="91" t="s">
        <v>10</v>
      </c>
      <c r="C11" s="91"/>
      <c r="D11" s="91"/>
      <c r="E11" s="91"/>
      <c r="F11" s="91"/>
      <c r="G11" s="91"/>
      <c r="H11" s="91" t="s">
        <v>11</v>
      </c>
      <c r="I11" s="91"/>
      <c r="J11" s="91"/>
      <c r="K11" s="91"/>
      <c r="L11" s="91"/>
      <c r="M11" s="91"/>
    </row>
    <row r="12" spans="1:14" ht="29.1" thickBot="1">
      <c r="B12" s="96" t="s">
        <v>12</v>
      </c>
      <c r="C12" s="96"/>
      <c r="D12" s="96"/>
      <c r="E12" s="77" t="s">
        <v>13</v>
      </c>
      <c r="F12" s="77" t="s">
        <v>14</v>
      </c>
      <c r="G12" s="77" t="s">
        <v>15</v>
      </c>
      <c r="H12" s="96" t="s">
        <v>16</v>
      </c>
      <c r="I12" s="96"/>
      <c r="J12" s="77" t="s">
        <v>17</v>
      </c>
      <c r="K12" s="77" t="s">
        <v>18</v>
      </c>
      <c r="L12" s="77" t="s">
        <v>19</v>
      </c>
      <c r="M12" s="77" t="s">
        <v>20</v>
      </c>
    </row>
    <row r="13" spans="1:14" ht="21.75" customHeight="1">
      <c r="B13" s="97" t="s">
        <v>21</v>
      </c>
      <c r="C13" s="97"/>
      <c r="D13" s="97"/>
      <c r="E13" s="44"/>
      <c r="F13" s="45"/>
      <c r="G13" s="46">
        <f>COUNTA('Candidate Tracker'!$C$8:$C$256)</f>
        <v>65</v>
      </c>
      <c r="H13" s="87" t="s">
        <v>22</v>
      </c>
      <c r="I13" s="87"/>
      <c r="J13" s="47">
        <f>COUNTIF('Candidate Tracker'!$Y$8:$Y$256,"Recruiter Screen - Being Scheduled")+COUNTIF('Candidate Tracker'!$Y$8:$Y$256,"Recruiter Screen - Invited")</f>
        <v>27</v>
      </c>
      <c r="K13" s="48">
        <f>'Interviewer Capacity'!$E$9</f>
        <v>40</v>
      </c>
      <c r="L13" s="49">
        <f>IFERROR(J13/K13,0)</f>
        <v>0.67500000000000004</v>
      </c>
      <c r="M13" s="50" t="str">
        <f>IF(K13=0,"⚠ NO CAPACITY",IF(L13&gt;=2,"⚠ AT RISK",IF(L13&gt;=1,"Watch","On Track")))</f>
        <v>On Track</v>
      </c>
    </row>
    <row r="14" spans="1:14" ht="21.75" customHeight="1">
      <c r="B14" s="95" t="s">
        <v>22</v>
      </c>
      <c r="C14" s="95"/>
      <c r="D14" s="95"/>
      <c r="E14" s="51">
        <f>COUNTIF('Candidate Tracker'!$Y$8:$Y$256,"Recruiter Screen - Being Scheduled")+COUNTIF('Candidate Tracker'!$Y$8:$Y$256,"Recruiter Screen - Invited")</f>
        <v>27</v>
      </c>
      <c r="F14" s="52">
        <f>COUNTIF('Candidate Tracker'!$Y$8:$Y$256,"Recruiter Screen - Conducted")</f>
        <v>7</v>
      </c>
      <c r="G14" s="53">
        <f>E14+F14</f>
        <v>34</v>
      </c>
      <c r="H14" s="87" t="s">
        <v>23</v>
      </c>
      <c r="I14" s="87"/>
      <c r="J14" s="47">
        <f>E15</f>
        <v>15</v>
      </c>
      <c r="K14" s="48">
        <f>'Interviewer Capacity'!$E$10</f>
        <v>26</v>
      </c>
      <c r="L14" s="49">
        <f>IFERROR(J14/K14,0)</f>
        <v>0.57692307692307687</v>
      </c>
      <c r="M14" s="50" t="str">
        <f>IF(K14=0,"⚠ NO CAPACITY",IF(L14&gt;=2,"⚠ AT RISK",IF(L14&gt;=1,"Watch","On Track")))</f>
        <v>On Track</v>
      </c>
    </row>
    <row r="15" spans="1:14" ht="21.75" customHeight="1">
      <c r="B15" s="95" t="s">
        <v>24</v>
      </c>
      <c r="C15" s="95"/>
      <c r="D15" s="95"/>
      <c r="E15" s="54">
        <f>COUNTIF('Candidate Tracker'!$Y$8:$Y$256,"Round 1 - Invite")</f>
        <v>15</v>
      </c>
      <c r="F15" s="55">
        <f>COUNTIF('Candidate Tracker'!$Y$8:$Y$256,"Round 1 - Conducted")</f>
        <v>5</v>
      </c>
      <c r="G15" s="56">
        <f>E15+F15</f>
        <v>20</v>
      </c>
      <c r="H15" s="87" t="s">
        <v>25</v>
      </c>
      <c r="I15" s="87"/>
      <c r="J15" s="47">
        <f>E16</f>
        <v>8</v>
      </c>
      <c r="K15" s="48">
        <f>'Interviewer Capacity'!$E$11</f>
        <v>29</v>
      </c>
      <c r="L15" s="49">
        <f>IFERROR(J15/K15,0)</f>
        <v>0.27586206896551724</v>
      </c>
      <c r="M15" s="50" t="str">
        <f>IF(K15=0,"⚠ NO CAPACITY",IF(L15&gt;=2,"⚠ AT RISK",IF(L15&gt;=1,"Watch","On Track")))</f>
        <v>On Track</v>
      </c>
    </row>
    <row r="16" spans="1:14" ht="27.75" customHeight="1">
      <c r="B16" s="95" t="s">
        <v>26</v>
      </c>
      <c r="C16" s="95"/>
      <c r="D16" s="95"/>
      <c r="E16" s="57">
        <f>COUNTIF('Candidate Tracker'!$Y$8:$Y$256,"Round 2 - Invite")</f>
        <v>8</v>
      </c>
      <c r="F16" s="58">
        <f>COUNTIF('Candidate Tracker'!$Y$8:$Y$256,"Round 2 - Conducted")</f>
        <v>0</v>
      </c>
      <c r="G16" s="59">
        <f>E16+F16</f>
        <v>8</v>
      </c>
      <c r="H16" s="87" t="s">
        <v>27</v>
      </c>
      <c r="I16" s="87"/>
      <c r="J16" s="47">
        <f>E17</f>
        <v>1</v>
      </c>
      <c r="K16" s="48">
        <f>'Interviewer Capacity'!$E$12</f>
        <v>8</v>
      </c>
      <c r="L16" s="49">
        <f>IFERROR(J16/K16,0)</f>
        <v>0.125</v>
      </c>
      <c r="M16" s="50" t="str">
        <f>IF(K16=0,"⚠ NO CAPACITY",IF(L16&gt;=2,"⚠ AT RISK",IF(L16&gt;=1,"Watch","On Track")))</f>
        <v>On Track</v>
      </c>
    </row>
    <row r="17" spans="2:13" ht="21.75" customHeight="1">
      <c r="B17" s="95" t="s">
        <v>28</v>
      </c>
      <c r="C17" s="95"/>
      <c r="D17" s="95"/>
      <c r="E17" s="51">
        <f>COUNTIF('Candidate Tracker'!$Y$8:$Y$256,"Round 3 - Invite")</f>
        <v>1</v>
      </c>
      <c r="F17" s="52">
        <f>COUNTIF('Candidate Tracker'!$Y$8:$Y$256,"Round 3 - Conducted")</f>
        <v>0</v>
      </c>
      <c r="G17" s="53">
        <f>E17+F17</f>
        <v>1</v>
      </c>
      <c r="H17" s="94" t="s">
        <v>29</v>
      </c>
      <c r="I17" s="94"/>
      <c r="J17" s="94"/>
      <c r="K17" s="94"/>
      <c r="L17" s="94"/>
      <c r="M17" s="94"/>
    </row>
    <row r="18" spans="2:13" ht="21.75" customHeight="1">
      <c r="B18" s="95" t="s">
        <v>30</v>
      </c>
      <c r="C18" s="95"/>
      <c r="D18" s="95"/>
      <c r="E18" s="51"/>
      <c r="F18" s="52">
        <f>COUNTIF('Candidate Tracker'!$Y$8:$Y$256,"Offer Extended")</f>
        <v>0</v>
      </c>
      <c r="G18" s="53">
        <f>F18</f>
        <v>0</v>
      </c>
    </row>
    <row r="19" spans="2:13" ht="21.75" customHeight="1">
      <c r="B19" s="87" t="s">
        <v>31</v>
      </c>
      <c r="C19" s="87"/>
      <c r="D19" s="87"/>
      <c r="E19" s="57"/>
      <c r="F19" s="58">
        <f>COUNTIF('Candidate Tracker'!$Y$8:$Y$256,"Hired and Ready to Onboard")</f>
        <v>1</v>
      </c>
      <c r="G19" s="59">
        <f>F19</f>
        <v>1</v>
      </c>
    </row>
    <row r="20" spans="2:13" ht="7.5" customHeight="1"/>
    <row r="21" spans="2:13" ht="7.5" customHeight="1"/>
    <row r="22" spans="2:13" ht="21.75" customHeight="1">
      <c r="B22" s="91" t="s">
        <v>32</v>
      </c>
      <c r="C22" s="91"/>
      <c r="D22" s="91"/>
      <c r="E22" s="91"/>
      <c r="F22" s="91"/>
      <c r="G22" s="91"/>
      <c r="H22" s="91"/>
      <c r="I22" s="91"/>
      <c r="J22" s="91"/>
      <c r="K22" s="91"/>
      <c r="L22" s="91"/>
      <c r="M22" s="91"/>
    </row>
    <row r="23" spans="2:13" ht="18" customHeight="1">
      <c r="B23" s="92" t="s">
        <v>33</v>
      </c>
      <c r="C23" s="92"/>
      <c r="D23" s="92"/>
    </row>
    <row r="24" spans="2:13" ht="30" customHeight="1">
      <c r="B24" s="67" t="s">
        <v>34</v>
      </c>
      <c r="C24" s="60">
        <v>40</v>
      </c>
      <c r="E24" s="93" t="s">
        <v>12</v>
      </c>
      <c r="F24" s="93"/>
      <c r="G24" s="93"/>
      <c r="H24" s="76" t="s">
        <v>35</v>
      </c>
      <c r="I24" s="76" t="s">
        <v>36</v>
      </c>
      <c r="J24" s="76" t="s">
        <v>37</v>
      </c>
      <c r="K24" s="76" t="s">
        <v>20</v>
      </c>
      <c r="L24" s="61"/>
      <c r="M24" s="61"/>
    </row>
    <row r="25" spans="2:13" ht="27.95">
      <c r="B25" s="67" t="s">
        <v>38</v>
      </c>
      <c r="C25" s="62">
        <v>0.5</v>
      </c>
      <c r="E25" s="87" t="s">
        <v>22</v>
      </c>
      <c r="F25" s="87"/>
      <c r="G25" s="87"/>
      <c r="H25" s="49">
        <f>$C$24</f>
        <v>40</v>
      </c>
      <c r="I25" s="48">
        <f>'Interviewer Capacity'!$E$9</f>
        <v>40</v>
      </c>
      <c r="J25" s="63">
        <f>I25-H25</f>
        <v>0</v>
      </c>
      <c r="K25" s="50" t="str">
        <f>IF(I25=0,"⚠ NO CAPACITY",IF(H25&gt;I25,"⚠ UNDERCAPACITY by "&amp;TEXT(H25-I25,"0.0")&amp;"/wk",IF(H25/I25&gt;=0.8,"Near limit ("&amp;TEXT(H25/I25,"0%")&amp;" util.)","OK ("&amp;TEXT(H25/I25,"0%")&amp;" util.)")))</f>
        <v>Near limit (100% util.)</v>
      </c>
      <c r="L25" s="50"/>
      <c r="M25" s="50"/>
    </row>
    <row r="26" spans="2:13" ht="21.75" customHeight="1">
      <c r="B26" s="67" t="s">
        <v>39</v>
      </c>
      <c r="C26" s="62">
        <v>0.4</v>
      </c>
      <c r="E26" s="87" t="s">
        <v>40</v>
      </c>
      <c r="F26" s="87"/>
      <c r="G26" s="87"/>
      <c r="H26" s="49">
        <f>$C$24*$C$25</f>
        <v>20</v>
      </c>
      <c r="I26" s="48">
        <f>'Interviewer Capacity'!$E$10</f>
        <v>26</v>
      </c>
      <c r="J26" s="63">
        <f>I26-H26</f>
        <v>6</v>
      </c>
      <c r="K26" s="50" t="str">
        <f>IF(I26=0,"⚠ NO CAPACITY",IF(H26&gt;I26,"⚠ UNDERCAPACITY by "&amp;TEXT(H26-I26,"0.0")&amp;"/wk",IF(H26/I26&gt;=0.8,"Near limit ("&amp;TEXT(H26/I26,"0%")&amp;" util.)","OK ("&amp;TEXT(H26/I26,"0%")&amp;" util.)")))</f>
        <v>OK (77% util.)</v>
      </c>
      <c r="L26" s="50"/>
      <c r="M26" s="50"/>
    </row>
    <row r="27" spans="2:13" ht="21.75" customHeight="1">
      <c r="B27" s="67" t="s">
        <v>41</v>
      </c>
      <c r="C27" s="62">
        <v>0.5</v>
      </c>
      <c r="E27" s="87" t="s">
        <v>42</v>
      </c>
      <c r="F27" s="87"/>
      <c r="G27" s="87"/>
      <c r="H27" s="49">
        <f>$C$24*$C$25*$C$26</f>
        <v>8</v>
      </c>
      <c r="I27" s="48">
        <f>'Interviewer Capacity'!$E$11</f>
        <v>29</v>
      </c>
      <c r="J27" s="63">
        <f>I27-H27</f>
        <v>21</v>
      </c>
      <c r="K27" s="50" t="str">
        <f>IF(I27=0,"⚠ NO CAPACITY",IF(H27&gt;I27,"⚠ UNDERCAPACITY by "&amp;TEXT(H27-I27,"0.0")&amp;"/wk",IF(H27/I27&gt;=0.8,"Near limit ("&amp;TEXT(H27/I27,"0%")&amp;" util.)","OK ("&amp;TEXT(H27/I27,"0%")&amp;" util.)")))</f>
        <v>OK (28% util.)</v>
      </c>
      <c r="L27" s="50"/>
      <c r="M27" s="50"/>
    </row>
    <row r="28" spans="2:13" ht="21.75" customHeight="1">
      <c r="B28" s="67" t="s">
        <v>43</v>
      </c>
      <c r="C28" s="62">
        <v>0.7</v>
      </c>
      <c r="E28" s="87" t="s">
        <v>44</v>
      </c>
      <c r="F28" s="87"/>
      <c r="G28" s="87"/>
      <c r="H28" s="49">
        <f>$C$24*$C$25*$C$26*$C$27</f>
        <v>4</v>
      </c>
      <c r="I28" s="48">
        <f>'Interviewer Capacity'!$E$12</f>
        <v>8</v>
      </c>
      <c r="J28" s="63">
        <f>I28-H28</f>
        <v>4</v>
      </c>
      <c r="K28" s="50" t="str">
        <f>IF(I28=0,"⚠ NO CAPACITY",IF(H28&gt;I28,"⚠ UNDERCAPACITY by "&amp;TEXT(H28-I28,"0.0")&amp;"/wk",IF(H28/I28&gt;=0.8,"Near limit ("&amp;TEXT(H28/I28,"0%")&amp;" util.)","OK ("&amp;TEXT(H28/I28,"0%")&amp;" util.)")))</f>
        <v>OK (50% util.)</v>
      </c>
      <c r="L28" s="50"/>
      <c r="M28" s="50"/>
    </row>
    <row r="29" spans="2:13" ht="6" customHeight="1"/>
    <row r="30" spans="2:13" ht="7.5" customHeight="1"/>
    <row r="31" spans="2:13">
      <c r="B31" s="88" t="s">
        <v>45</v>
      </c>
      <c r="C31" s="89"/>
      <c r="D31" s="89"/>
      <c r="E31" s="89"/>
      <c r="F31" s="89"/>
      <c r="G31" s="89"/>
      <c r="H31" s="89"/>
      <c r="I31" s="89"/>
      <c r="J31" s="89"/>
      <c r="K31" s="89"/>
      <c r="L31" s="89"/>
      <c r="M31" s="90"/>
    </row>
    <row r="32" spans="2:13" ht="19.5" customHeight="1" thickBot="1">
      <c r="B32" s="66" t="s">
        <v>46</v>
      </c>
      <c r="C32" s="65"/>
      <c r="D32" s="65"/>
      <c r="E32" s="65"/>
      <c r="F32" s="65"/>
      <c r="G32" s="65"/>
    </row>
    <row r="33" spans="2:13" ht="35.1" customHeight="1" thickBot="1">
      <c r="B33" s="78" t="s">
        <v>12</v>
      </c>
      <c r="C33" s="79" t="s">
        <v>47</v>
      </c>
      <c r="D33" s="79" t="s">
        <v>48</v>
      </c>
      <c r="E33" s="79" t="s">
        <v>49</v>
      </c>
      <c r="F33" s="79" t="s">
        <v>50</v>
      </c>
      <c r="G33" s="79" t="s">
        <v>20</v>
      </c>
    </row>
    <row r="34" spans="2:13">
      <c r="B34" s="68" t="s">
        <v>22</v>
      </c>
      <c r="C34" s="69">
        <f ca="1">COUNT('Candidate Tracker'!H8:H256)</f>
        <v>0</v>
      </c>
      <c r="D34" s="70">
        <f ca="1">IFERROR(AVERAGE('Candidate Tracker'!H8:H256),0)</f>
        <v>0</v>
      </c>
      <c r="E34" s="71">
        <f ca="1">IFERROR(MAX('Candidate Tracker'!H8:H256),0)</f>
        <v>0</v>
      </c>
      <c r="F34" s="69">
        <f ca="1">COUNTIF('Candidate Tracker'!H8:H256,"&gt;14")</f>
        <v>0</v>
      </c>
      <c r="G34" s="69" t="str">
        <f ca="1">IF(C34=0,"—",IF(E34&gt;=15,"⚠ At Risk",IF(E34&gt;=7,"Watch","OK")))</f>
        <v>—</v>
      </c>
    </row>
    <row r="35" spans="2:13">
      <c r="B35" s="68" t="s">
        <v>40</v>
      </c>
      <c r="C35" s="69">
        <f ca="1">COUNT('Candidate Tracker'!K8:K256)</f>
        <v>0</v>
      </c>
      <c r="D35" s="70">
        <f ca="1">IFERROR(AVERAGE('Candidate Tracker'!K8:K256),0)</f>
        <v>0</v>
      </c>
      <c r="E35" s="71">
        <f ca="1">IFERROR(MAX('Candidate Tracker'!K8:K256),0)</f>
        <v>0</v>
      </c>
      <c r="F35" s="69">
        <f ca="1">COUNTIF('Candidate Tracker'!K8:K256,"&gt;14")</f>
        <v>0</v>
      </c>
      <c r="G35" s="69" t="str">
        <f ca="1">IF(C35=0,"—",IF(E35&gt;=15,"⚠ At Risk",IF(E35&gt;=7,"Watch","OK")))</f>
        <v>—</v>
      </c>
    </row>
    <row r="36" spans="2:13">
      <c r="B36" s="68" t="s">
        <v>42</v>
      </c>
      <c r="C36" s="69">
        <f ca="1">COUNT('Candidate Tracker'!O8:O256)</f>
        <v>20</v>
      </c>
      <c r="D36" s="70">
        <f ca="1">IFERROR(AVERAGE('Candidate Tracker'!O8:O256),0)</f>
        <v>7.4</v>
      </c>
      <c r="E36" s="71">
        <f ca="1">IFERROR(MAX('Candidate Tracker'!O8:O256),0)</f>
        <v>17</v>
      </c>
      <c r="F36" s="69">
        <f ca="1">COUNTIF('Candidate Tracker'!O8:O256,"&gt;14")</f>
        <v>2</v>
      </c>
      <c r="G36" s="69" t="str">
        <f ca="1">IF(C36=0,"—",IF(E36&gt;=15,"⚠ At Risk",IF(E36&gt;=7,"Watch","OK")))</f>
        <v>⚠ At Risk</v>
      </c>
    </row>
    <row r="37" spans="2:13">
      <c r="B37" s="68" t="s">
        <v>44</v>
      </c>
      <c r="C37" s="69">
        <f ca="1">COUNT('Candidate Tracker'!U8:U256)</f>
        <v>5</v>
      </c>
      <c r="D37" s="70">
        <f ca="1">IFERROR(AVERAGE('Candidate Tracker'!U8:U256),0)</f>
        <v>5.8</v>
      </c>
      <c r="E37" s="71">
        <f ca="1">IFERROR(MAX('Candidate Tracker'!U8:U256),0)</f>
        <v>14</v>
      </c>
      <c r="F37" s="69">
        <f ca="1">COUNTIF('Candidate Tracker'!U8:U256,"&gt;14")</f>
        <v>0</v>
      </c>
      <c r="G37" s="69" t="str">
        <f ca="1">IF(C37=0,"—",IF(E37&gt;=15,"⚠ At Risk",IF(E37&gt;=7,"Watch","OK")))</f>
        <v>Watch</v>
      </c>
    </row>
    <row r="38" spans="2:13" ht="24.6" customHeight="1">
      <c r="B38" s="72" t="s">
        <v>51</v>
      </c>
      <c r="C38" s="73" t="str">
        <f ca="1">INDEX(B34:B37,MATCH(MAX(E34:E37),E34:E37,0))&amp;" — "&amp;MAX(E34:E37)&amp;" days"</f>
        <v>Round 2 — 17 days</v>
      </c>
      <c r="D38" s="3"/>
      <c r="E38" s="3"/>
      <c r="F38" s="74"/>
      <c r="G38" s="75"/>
    </row>
    <row r="40" spans="2:13" ht="21.75" customHeight="1">
      <c r="B40" s="88" t="s">
        <v>52</v>
      </c>
      <c r="C40" s="89"/>
      <c r="D40" s="89"/>
      <c r="E40" s="89"/>
      <c r="F40" s="89"/>
      <c r="G40" s="89"/>
      <c r="H40" s="89"/>
      <c r="I40" s="89"/>
      <c r="J40" s="89"/>
      <c r="K40" s="89"/>
      <c r="L40" s="89"/>
      <c r="M40" s="90"/>
    </row>
    <row r="41" spans="2:13" ht="23.1" customHeight="1">
      <c r="B41" s="81" t="str">
        <f ca="1">"As of "&amp;TEXT(TODAY(),"mmmm d")&amp;", "&amp;COUNTIF('Candidate Tracker'!$Z$8:$Z$256,"Active")&amp;" candidate"&amp;IF(COUNTIF('Candidate Tracker'!$Z$8:$Z$256,"Active")=1,"","s")&amp;" "&amp;IF(COUNTIF('Candidate Tracker'!$Z$8:$Z$256,"Active")=1,"is","are")&amp;" active in the FDE pipeline. "&amp;IF(COUNTIF(M13:M16,"⚠ AT RISK")+COUNTIF(M13:M16,"⚠ NO CAPACITY")&gt;0,"Interviewer capacity is already strained at "&amp;COUNTIF(M13:M16,"⚠ AT RISK")+COUNTIF(M13:M16,"⚠ NO CAPACITY")&amp;" round(s). ","Current load is manageable. ")&amp;"At the projected weekly inflow of "&amp;$C$24&amp;" recruiter screens, "&amp;IF(COUNTIF(K25:K28,"*UNDERCAPACITY*")&gt;0,"the pipeline will exceed capacity at "&amp;COUNTIF(K25:K28,"*UNDERCAPACITY*")&amp;" stage(s) — interviewer pool expansion needed.","capacity holds across all rounds.")</f>
        <v>As of May 4, 63 candidates are active in the FDE pipeline. Current load is manageable. At the projected weekly inflow of 40 recruiter screens, capacity holds across all rounds.</v>
      </c>
      <c r="C41" s="82"/>
      <c r="D41" s="82"/>
      <c r="E41" s="82"/>
      <c r="F41" s="82"/>
      <c r="G41" s="82"/>
      <c r="H41" s="82"/>
      <c r="I41" s="82"/>
      <c r="J41" s="82"/>
      <c r="K41" s="82"/>
      <c r="L41" s="82"/>
      <c r="M41" s="83"/>
    </row>
    <row r="42" spans="2:13" ht="15.6" customHeight="1">
      <c r="B42" s="84"/>
      <c r="C42" s="85"/>
      <c r="D42" s="85"/>
      <c r="E42" s="85"/>
      <c r="F42" s="85"/>
      <c r="G42" s="85"/>
      <c r="H42" s="85"/>
      <c r="I42" s="85"/>
      <c r="J42" s="85"/>
      <c r="K42" s="85"/>
      <c r="L42" s="85"/>
      <c r="M42" s="86"/>
    </row>
    <row r="43" spans="2:13" ht="7.5" customHeight="1"/>
  </sheetData>
  <mergeCells count="42">
    <mergeCell ref="B8:D8"/>
    <mergeCell ref="E8:G8"/>
    <mergeCell ref="H8:J8"/>
    <mergeCell ref="K8:M8"/>
    <mergeCell ref="B9:D9"/>
    <mergeCell ref="E9:G9"/>
    <mergeCell ref="H9:J9"/>
    <mergeCell ref="K9:M9"/>
    <mergeCell ref="A3:N3"/>
    <mergeCell ref="B4:G5"/>
    <mergeCell ref="J4:M4"/>
    <mergeCell ref="J5:M5"/>
    <mergeCell ref="B7:D7"/>
    <mergeCell ref="E7:G7"/>
    <mergeCell ref="H7:J7"/>
    <mergeCell ref="K7:M7"/>
    <mergeCell ref="B11:G11"/>
    <mergeCell ref="H11:M11"/>
    <mergeCell ref="B12:D12"/>
    <mergeCell ref="H12:I12"/>
    <mergeCell ref="B13:D13"/>
    <mergeCell ref="H13:I13"/>
    <mergeCell ref="B14:D14"/>
    <mergeCell ref="H14:I14"/>
    <mergeCell ref="B15:D15"/>
    <mergeCell ref="H16:I16"/>
    <mergeCell ref="B16:D16"/>
    <mergeCell ref="H17:M17"/>
    <mergeCell ref="H15:I15"/>
    <mergeCell ref="B17:D17"/>
    <mergeCell ref="B18:D18"/>
    <mergeCell ref="B19:D19"/>
    <mergeCell ref="B22:M22"/>
    <mergeCell ref="B23:D23"/>
    <mergeCell ref="E24:G24"/>
    <mergeCell ref="E25:G25"/>
    <mergeCell ref="B40:M40"/>
    <mergeCell ref="B41:M42"/>
    <mergeCell ref="E26:G26"/>
    <mergeCell ref="E27:G27"/>
    <mergeCell ref="E28:G28"/>
    <mergeCell ref="B31:M31"/>
  </mergeCells>
  <conditionalFormatting sqref="D34:E37">
    <cfRule type="colorScale" priority="15">
      <colorScale>
        <cfvo type="num" val="0"/>
        <cfvo type="num" val="7"/>
        <cfvo type="num" val="21"/>
        <color rgb="FF63BE7B"/>
        <color rgb="FFFFEB84"/>
        <color rgb="FFF8696B"/>
      </colorScale>
    </cfRule>
  </conditionalFormatting>
  <conditionalFormatting sqref="E14:E19">
    <cfRule type="colorScale" priority="14">
      <colorScale>
        <cfvo type="min"/>
        <cfvo type="max"/>
        <color rgb="FFFFFFFF"/>
        <color rgb="FF86BC25"/>
      </colorScale>
    </cfRule>
  </conditionalFormatting>
  <conditionalFormatting sqref="F34:F37">
    <cfRule type="cellIs" dxfId="25" priority="19" operator="greaterThan">
      <formula>0</formula>
    </cfRule>
  </conditionalFormatting>
  <conditionalFormatting sqref="G34:G37">
    <cfRule type="containsText" dxfId="24" priority="16" operator="containsText" text="At Risk">
      <formula>NOT(ISERROR(SEARCH("At Risk",G34)))</formula>
    </cfRule>
    <cfRule type="containsText" dxfId="23" priority="17" operator="containsText" text="Watch">
      <formula>NOT(ISERROR(SEARCH("Watch",G34)))</formula>
    </cfRule>
    <cfRule type="containsText" dxfId="22" priority="18" operator="containsText" text="OK">
      <formula>NOT(ISERROR(SEARCH("OK",G34)))</formula>
    </cfRule>
  </conditionalFormatting>
  <conditionalFormatting sqref="J25:J28">
    <cfRule type="cellIs" dxfId="21" priority="12" operator="lessThan">
      <formula>0</formula>
    </cfRule>
    <cfRule type="cellIs" dxfId="20" priority="13" operator="greaterThanOrEqual">
      <formula>0</formula>
    </cfRule>
  </conditionalFormatting>
  <conditionalFormatting sqref="K25:M28">
    <cfRule type="expression" dxfId="19" priority="8">
      <formula>ISNUMBER(SEARCH("UNDERCAPACITY",$K25))</formula>
    </cfRule>
    <cfRule type="expression" dxfId="18" priority="9">
      <formula>ISNUMBER(SEARCH("NO CAPACITY",$K25))</formula>
    </cfRule>
    <cfRule type="expression" dxfId="17" priority="10">
      <formula>ISNUMBER(SEARCH("Near limit",$K25))</formula>
    </cfRule>
    <cfRule type="expression" dxfId="16" priority="11">
      <formula>ISNUMBER(SEARCH("OK",$K25))</formula>
    </cfRule>
  </conditionalFormatting>
  <conditionalFormatting sqref="L13:L16">
    <cfRule type="dataBar" priority="7">
      <dataBar>
        <cfvo type="num" val="0"/>
        <cfvo type="num" val="4"/>
        <color theme="4"/>
      </dataBar>
      <extLst>
        <ext xmlns:x14="http://schemas.microsoft.com/office/spreadsheetml/2009/9/main" uri="{B025F937-C7B1-47D3-B67F-A62EFF666E3E}">
          <x14:id>{ADD25C50-B71E-489A-A44E-5BB9F68ECA3A}</x14:id>
        </ext>
      </extLst>
    </cfRule>
  </conditionalFormatting>
  <conditionalFormatting sqref="M13:M16">
    <cfRule type="expression" dxfId="15" priority="3">
      <formula>$M13="⚠ AT RISK"</formula>
    </cfRule>
    <cfRule type="expression" dxfId="14" priority="4">
      <formula>$M13="⚠ NO CAPACITY"</formula>
    </cfRule>
    <cfRule type="expression" dxfId="13" priority="5">
      <formula>$M13="Watch"</formula>
    </cfRule>
    <cfRule type="expression" dxfId="12" priority="6">
      <formula>$M13="On Track"</formula>
    </cfRule>
  </conditionalFormatting>
  <printOptions horizontalCentered="1"/>
  <pageMargins left="0.75" right="0.75" top="1" bottom="1" header="0.511811023622047" footer="0.511811023622047"/>
  <pageSetup orientation="landscape" horizontalDpi="300" verticalDpi="300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DD25C50-B71E-489A-A44E-5BB9F68ECA3A}">
            <x14:dataBar axisPosition="none">
              <x14:cfvo type="num">
                <xm:f>0</xm:f>
              </x14:cfvo>
              <x14:cfvo type="num">
                <xm:f>4</xm:f>
              </x14:cfvo>
              <x14:negativeFillColor rgb="FFED7D31"/>
            </x14:dataBar>
          </x14:cfRule>
          <xm:sqref>L13:L16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1"/>
  </sheetPr>
  <dimension ref="A1:M16"/>
  <sheetViews>
    <sheetView showGridLines="0" zoomScale="85" zoomScaleNormal="85" workbookViewId="0">
      <selection activeCell="N16" sqref="N16"/>
    </sheetView>
  </sheetViews>
  <sheetFormatPr defaultColWidth="8.42578125" defaultRowHeight="12.95"/>
  <cols>
    <col min="1" max="1" width="2.42578125" style="3" customWidth="1"/>
    <col min="2" max="2" width="18.140625" style="3" customWidth="1"/>
    <col min="3" max="3" width="17.28515625" style="3" customWidth="1"/>
    <col min="4" max="4" width="13.42578125" style="3" customWidth="1"/>
    <col min="5" max="5" width="18.42578125" style="3" customWidth="1"/>
    <col min="6" max="6" width="13.42578125" style="3" customWidth="1"/>
    <col min="7" max="7" width="18.85546875" style="3" customWidth="1"/>
    <col min="8" max="9" width="13.42578125" style="3" customWidth="1"/>
    <col min="10" max="11" width="11.85546875" style="3" customWidth="1"/>
    <col min="12" max="16384" width="8.42578125" style="3"/>
  </cols>
  <sheetData>
    <row r="1" spans="1:13" s="1" customFormat="1" ht="24.95" customHeight="1">
      <c r="A1" s="18"/>
    </row>
    <row r="2" spans="1:13" s="2" customFormat="1" ht="24.95" customHeight="1"/>
    <row r="4" spans="1:13" ht="31.5" customHeight="1">
      <c r="B4" s="98" t="s">
        <v>53</v>
      </c>
      <c r="C4" s="98"/>
      <c r="D4" s="98"/>
      <c r="E4" s="98"/>
      <c r="F4" s="98"/>
      <c r="G4" s="98"/>
    </row>
    <row r="5" spans="1:13">
      <c r="B5" s="98"/>
      <c r="C5" s="98"/>
      <c r="D5" s="98"/>
      <c r="E5" s="98"/>
      <c r="F5" s="98"/>
      <c r="G5" s="98"/>
    </row>
    <row r="6" spans="1:13" ht="32.1" customHeight="1">
      <c r="B6" s="33" t="s">
        <v>54</v>
      </c>
      <c r="C6" s="34" t="s">
        <v>22</v>
      </c>
      <c r="D6" s="112" t="s">
        <v>55</v>
      </c>
      <c r="E6" s="112" t="s">
        <v>56</v>
      </c>
      <c r="F6" s="112" t="s">
        <v>57</v>
      </c>
      <c r="G6" s="112" t="s">
        <v>58</v>
      </c>
      <c r="H6" s="112" t="s">
        <v>59</v>
      </c>
      <c r="I6" s="112" t="s">
        <v>60</v>
      </c>
      <c r="J6" s="34" t="s">
        <v>61</v>
      </c>
      <c r="K6" s="35" t="s">
        <v>62</v>
      </c>
    </row>
    <row r="7" spans="1:13" ht="30" customHeight="1">
      <c r="B7" s="4" t="s">
        <v>63</v>
      </c>
      <c r="C7" s="5">
        <f>COUNTIFS('Candidate Tracker'!$D$8:$D$256,$B7,'Candidate Tracker'!$Y$8:$Y$256,"Recruiter Screen - Being Scheduled")+COUNTIFS('Candidate Tracker'!$D$8:$D$256,$B7,'Candidate Tracker'!$Y$8:$Y$256,"Recruiter Screen - Invited")+COUNTIFS('Candidate Tracker'!$D$8:$D$256,$B7,'Candidate Tracker'!$Y$8:$Y$256,"Recruiter Screen - Conducted")</f>
        <v>12</v>
      </c>
      <c r="D7" s="32">
        <f>COUNTIFS('Candidate Tracker'!$D$8:$D$256,$B7,'Candidate Tracker'!$Y$8:$Y$256,"Round 1 - Invite")</f>
        <v>0</v>
      </c>
      <c r="E7" s="32">
        <f>COUNTIFS('Candidate Tracker'!$D$8:$D$256,$B7,'Candidate Tracker'!$Y$8:$Y$256,"Round 1 - Conducted")</f>
        <v>2</v>
      </c>
      <c r="F7" s="32">
        <f>COUNTIFS('Candidate Tracker'!$D$8:$D$256,$B7,'Candidate Tracker'!$Y$8:$Y$256,"Round 2 - Invite")</f>
        <v>1</v>
      </c>
      <c r="G7" s="32">
        <f>COUNTIFS('Candidate Tracker'!$D$8:$D$256,$B7,'Candidate Tracker'!$Y$8:$Y$256,"Round 2 - Conducted")</f>
        <v>0</v>
      </c>
      <c r="H7" s="32">
        <f>COUNTIFS('Candidate Tracker'!$D$8:$D$256,$B7,'Candidate Tracker'!$Y$8:$Y$256,"Round 3 - Invite")</f>
        <v>0</v>
      </c>
      <c r="I7" s="32">
        <f>COUNTIFS('Candidate Tracker'!$D$8:$D$256,$B7,'Candidate Tracker'!$Y$8:$Y$256,"Round 3 - Conducted")</f>
        <v>0</v>
      </c>
      <c r="J7" s="5">
        <f>COUNTIFS('Candidate Tracker'!$D$8:$D$256,$B7,'Candidate Tracker'!$Y$8:$Y$256,"Offer Extended")</f>
        <v>0</v>
      </c>
      <c r="K7" s="5">
        <f>COUNTIFS('Candidate Tracker'!$D$8:$D$256,$B7,'Candidate Tracker'!$Y$8:$Y$256,"Hired and Ready to Onboard")</f>
        <v>0</v>
      </c>
    </row>
    <row r="8" spans="1:13" ht="30" customHeight="1">
      <c r="B8" s="4" t="s">
        <v>64</v>
      </c>
      <c r="C8" s="5">
        <f>COUNTIFS('Candidate Tracker'!$D$8:$D$256,$B8,'Candidate Tracker'!$Y$8:$Y$256,"Recruiter Screen - Being Scheduled")+COUNTIFS('Candidate Tracker'!$D$8:$D$256,$B8,'Candidate Tracker'!$Y$8:$Y$256,"Recruiter Screen - Invited")+COUNTIFS('Candidate Tracker'!$D$8:$D$256,$B8,'Candidate Tracker'!$Y$8:$Y$256,"Recruiter Screen - Conducted")</f>
        <v>2</v>
      </c>
      <c r="D8" s="32">
        <f>COUNTIFS('Candidate Tracker'!$D$8:$D$256,$B8,'Candidate Tracker'!$Y$8:$Y$256,"Round 1 - Invite")</f>
        <v>3</v>
      </c>
      <c r="E8" s="32">
        <f>COUNTIFS('Candidate Tracker'!$D$8:$D$256,$B8,'Candidate Tracker'!$Y$8:$Y$256,"Round 1 - Conducted")</f>
        <v>3</v>
      </c>
      <c r="F8" s="32">
        <f>COUNTIFS('Candidate Tracker'!$D$8:$D$256,$B8,'Candidate Tracker'!$Y$8:$Y$256,"Round 2 - Invite")</f>
        <v>2</v>
      </c>
      <c r="G8" s="32">
        <f>COUNTIFS('Candidate Tracker'!$D$8:$D$256,$B8,'Candidate Tracker'!$Y$8:$Y$256,"Round 2 - Conducted")</f>
        <v>0</v>
      </c>
      <c r="H8" s="32">
        <f>COUNTIFS('Candidate Tracker'!$D$8:$D$256,$B8,'Candidate Tracker'!$Y$8:$Y$256,"Round 3 - Invite")</f>
        <v>0</v>
      </c>
      <c r="I8" s="32">
        <f>COUNTIFS('Candidate Tracker'!$D$8:$D$256,$B8,'Candidate Tracker'!$Y$8:$Y$256,"Round 3 - Conducted")</f>
        <v>0</v>
      </c>
      <c r="J8" s="5">
        <f>COUNTIFS('Candidate Tracker'!$D$8:$D$256,$B8,'Candidate Tracker'!$Y$8:$Y$256,"Offer Extended")</f>
        <v>0</v>
      </c>
      <c r="K8" s="5">
        <f>COUNTIFS('Candidate Tracker'!$D$8:$D$256,$B8,'Candidate Tracker'!$Y$8:$Y$256,"Hired and Ready to Onboard")</f>
        <v>0</v>
      </c>
    </row>
    <row r="9" spans="1:13" ht="30" customHeight="1">
      <c r="B9" s="4" t="s">
        <v>65</v>
      </c>
      <c r="C9" s="5">
        <f>COUNTIFS('Candidate Tracker'!$D$8:$D$256,$B9,'Candidate Tracker'!$Y$8:$Y$256,"Recruiter Screen - Being Scheduled")+COUNTIFS('Candidate Tracker'!$D$8:$D$256,$B9,'Candidate Tracker'!$Y$8:$Y$256,"Recruiter Screen - Invited")+COUNTIFS('Candidate Tracker'!$D$8:$D$256,$B9,'Candidate Tracker'!$Y$8:$Y$256,"Recruiter Screen - Conducted")</f>
        <v>6</v>
      </c>
      <c r="D9" s="32">
        <f>COUNTIFS('Candidate Tracker'!$D$8:$D$256,$B9,'Candidate Tracker'!$Y$8:$Y$256,"Round 1 - Invite")</f>
        <v>5</v>
      </c>
      <c r="E9" s="32">
        <f>COUNTIFS('Candidate Tracker'!$D$8:$D$256,$B9,'Candidate Tracker'!$Y$8:$Y$256,"Round 1 - Conducted")</f>
        <v>0</v>
      </c>
      <c r="F9" s="32">
        <f>COUNTIFS('Candidate Tracker'!$D$8:$D$256,$B9,'Candidate Tracker'!$Y$8:$Y$256,"Round 2 - Invite")</f>
        <v>4</v>
      </c>
      <c r="G9" s="32">
        <f>COUNTIFS('Candidate Tracker'!$D$8:$D$256,$B9,'Candidate Tracker'!$Y$8:$Y$256,"Round 2 - Conducted")</f>
        <v>0</v>
      </c>
      <c r="H9" s="32">
        <f>COUNTIFS('Candidate Tracker'!$D$8:$D$256,$B9,'Candidate Tracker'!$Y$8:$Y$256,"Round 3 - Invite")</f>
        <v>1</v>
      </c>
      <c r="I9" s="32">
        <f>COUNTIFS('Candidate Tracker'!$D$8:$D$256,$B9,'Candidate Tracker'!$Y$8:$Y$256,"Round 3 - Conducted")</f>
        <v>0</v>
      </c>
      <c r="J9" s="5">
        <f>COUNTIFS('Candidate Tracker'!$D$8:$D$256,$B9,'Candidate Tracker'!$Y$8:$Y$256,"Offer Extended")</f>
        <v>0</v>
      </c>
      <c r="K9" s="5">
        <f>COUNTIFS('Candidate Tracker'!$D$8:$D$256,$B9,'Candidate Tracker'!$Y$8:$Y$256,"Hired and Ready to Onboard")</f>
        <v>1</v>
      </c>
    </row>
    <row r="10" spans="1:13" ht="30" customHeight="1">
      <c r="B10" s="4" t="s">
        <v>66</v>
      </c>
      <c r="C10" s="5">
        <f>COUNTIFS('Candidate Tracker'!$D$8:$D$256,$B10,'Candidate Tracker'!$Y$8:$Y$256,"Recruiter Screen - Being Scheduled")+COUNTIFS('Candidate Tracker'!$D$8:$D$256,$B10,'Candidate Tracker'!$Y$8:$Y$256,"Recruiter Screen - Invited")+COUNTIFS('Candidate Tracker'!$D$8:$D$256,$B10,'Candidate Tracker'!$Y$8:$Y$256,"Recruiter Screen - Conducted")</f>
        <v>0</v>
      </c>
      <c r="D10" s="32">
        <f>COUNTIFS('Candidate Tracker'!$D$8:$D$256,$B10,'Candidate Tracker'!$Y$8:$Y$256,"Round 1 - Invite")</f>
        <v>0</v>
      </c>
      <c r="E10" s="32">
        <f>COUNTIFS('Candidate Tracker'!$D$8:$D$256,$B10,'Candidate Tracker'!$Y$8:$Y$256,"Round 1 - Conducted")</f>
        <v>0</v>
      </c>
      <c r="F10" s="32">
        <f>COUNTIFS('Candidate Tracker'!$D$8:$D$256,$B10,'Candidate Tracker'!$Y$8:$Y$256,"Round 2 - Invite")</f>
        <v>0</v>
      </c>
      <c r="G10" s="32">
        <f>COUNTIFS('Candidate Tracker'!$D$8:$D$256,$B10,'Candidate Tracker'!$Y$8:$Y$256,"Round 2 - Conducted")</f>
        <v>0</v>
      </c>
      <c r="H10" s="32">
        <f>COUNTIFS('Candidate Tracker'!$D$8:$D$256,$B10,'Candidate Tracker'!$Y$8:$Y$256,"Round 3 - Invite")</f>
        <v>0</v>
      </c>
      <c r="I10" s="32">
        <f>COUNTIFS('Candidate Tracker'!$D$8:$D$256,$B10,'Candidate Tracker'!$Y$8:$Y$256,"Round 3 - Conducted")</f>
        <v>0</v>
      </c>
      <c r="J10" s="5">
        <f>COUNTIFS('Candidate Tracker'!$D$8:$D$256,$B10,'Candidate Tracker'!$Y$8:$Y$256,"Offer Extended")</f>
        <v>0</v>
      </c>
      <c r="K10" s="5">
        <f>COUNTIFS('Candidate Tracker'!$D$8:$D$256,$B10,'Candidate Tracker'!$Y$8:$Y$256,"Hired and Ready to Onboard")</f>
        <v>0</v>
      </c>
    </row>
    <row r="11" spans="1:13" ht="30" customHeight="1">
      <c r="B11" s="4" t="s">
        <v>67</v>
      </c>
      <c r="C11" s="5">
        <f>COUNTIFS('Candidate Tracker'!$D$8:$D$256,$B11,'Candidate Tracker'!$Y$8:$Y$256,"Recruiter Screen - Being Scheduled")+COUNTIFS('Candidate Tracker'!$D$8:$D$256,$B11,'Candidate Tracker'!$Y$8:$Y$256,"Recruiter Screen - Invited")+COUNTIFS('Candidate Tracker'!$D$8:$D$256,$B11,'Candidate Tracker'!$Y$8:$Y$256,"Recruiter Screen - Conducted")</f>
        <v>0</v>
      </c>
      <c r="D11" s="32">
        <f>COUNTIFS('Candidate Tracker'!$D$8:$D$256,$B11,'Candidate Tracker'!$Y$8:$Y$256,"Round 1 - Invite")</f>
        <v>0</v>
      </c>
      <c r="E11" s="32">
        <f>COUNTIFS('Candidate Tracker'!$D$8:$D$256,$B11,'Candidate Tracker'!$Y$8:$Y$256,"Round 1 - Conducted")</f>
        <v>0</v>
      </c>
      <c r="F11" s="32">
        <f>COUNTIFS('Candidate Tracker'!$D$8:$D$256,$B11,'Candidate Tracker'!$Y$8:$Y$256,"Round 2 - Invite")</f>
        <v>0</v>
      </c>
      <c r="G11" s="32">
        <f>COUNTIFS('Candidate Tracker'!$D$8:$D$256,$B11,'Candidate Tracker'!$Y$8:$Y$256,"Round 2 - Conducted")</f>
        <v>0</v>
      </c>
      <c r="H11" s="32">
        <f>COUNTIFS('Candidate Tracker'!$D$8:$D$256,$B11,'Candidate Tracker'!$Y$8:$Y$256,"Round 3 - Invite")</f>
        <v>0</v>
      </c>
      <c r="I11" s="32">
        <f>COUNTIFS('Candidate Tracker'!$D$8:$D$256,$B11,'Candidate Tracker'!$Y$8:$Y$256,"Round 3 - Conducted")</f>
        <v>0</v>
      </c>
      <c r="J11" s="5">
        <f>COUNTIFS('Candidate Tracker'!$D$8:$D$256,$B11,'Candidate Tracker'!$Y$8:$Y$256,"Offer Extended")</f>
        <v>0</v>
      </c>
      <c r="K11" s="5">
        <f>COUNTIFS('Candidate Tracker'!$D$8:$D$256,$B11,'Candidate Tracker'!$Y$8:$Y$256,"Hired and Ready to Onboard")</f>
        <v>0</v>
      </c>
    </row>
    <row r="12" spans="1:13" ht="30" customHeight="1">
      <c r="B12" s="4" t="s">
        <v>68</v>
      </c>
      <c r="C12" s="5">
        <f>COUNTIFS('Candidate Tracker'!$D$8:$D$256,$B12,'Candidate Tracker'!$Y$8:$Y$256,"Recruiter Screen - Being Scheduled")+COUNTIFS('Candidate Tracker'!$D$8:$D$256,$B12,'Candidate Tracker'!$Y$8:$Y$256,"Recruiter Screen - Invited")+COUNTIFS('Candidate Tracker'!$D$8:$D$256,$B12,'Candidate Tracker'!$Y$8:$Y$256,"Recruiter Screen - Conducted")</f>
        <v>0</v>
      </c>
      <c r="D12" s="32">
        <f>COUNTIFS('Candidate Tracker'!$D$8:$D$256,$B12,'Candidate Tracker'!$Y$8:$Y$256,"Round 1 - Invite")</f>
        <v>0</v>
      </c>
      <c r="E12" s="32">
        <f>COUNTIFS('Candidate Tracker'!$D$8:$D$256,$B12,'Candidate Tracker'!$Y$8:$Y$256,"Round 1 - Conducted")</f>
        <v>0</v>
      </c>
      <c r="F12" s="32">
        <f>COUNTIFS('Candidate Tracker'!$D$8:$D$256,$B12,'Candidate Tracker'!$Y$8:$Y$256,"Round 2 - Invite")</f>
        <v>0</v>
      </c>
      <c r="G12" s="32">
        <f>COUNTIFS('Candidate Tracker'!$D$8:$D$256,$B12,'Candidate Tracker'!$Y$8:$Y$256,"Round 2 - Conducted")</f>
        <v>0</v>
      </c>
      <c r="H12" s="32">
        <f>COUNTIFS('Candidate Tracker'!$D$8:$D$256,$B12,'Candidate Tracker'!$Y$8:$Y$256,"Round 3 - Invite")</f>
        <v>0</v>
      </c>
      <c r="I12" s="32">
        <f>COUNTIFS('Candidate Tracker'!$D$8:$D$256,$B12,'Candidate Tracker'!$Y$8:$Y$256,"Round 3 - Conducted")</f>
        <v>0</v>
      </c>
      <c r="J12" s="5">
        <f>COUNTIFS('Candidate Tracker'!$D$8:$D$256,$B12,'Candidate Tracker'!$Y$8:$Y$256,"Offer Extended")</f>
        <v>0</v>
      </c>
      <c r="K12" s="5">
        <f>COUNTIFS('Candidate Tracker'!$D$8:$D$256,$B12,'Candidate Tracker'!$Y$8:$Y$256,"Hired and Ready to Onboard")</f>
        <v>0</v>
      </c>
    </row>
    <row r="13" spans="1:13" ht="30" customHeight="1">
      <c r="B13" s="4" t="s">
        <v>69</v>
      </c>
      <c r="C13" s="5">
        <f>COUNTIFS('Candidate Tracker'!$D$8:$D$256,$B13,'Candidate Tracker'!$Y$8:$Y$256,"Recruiter Screen - Being Scheduled")+COUNTIFS('Candidate Tracker'!$D$8:$D$256,$B13,'Candidate Tracker'!$Y$8:$Y$256,"Recruiter Screen - Invited")+COUNTIFS('Candidate Tracker'!$D$8:$D$256,$B13,'Candidate Tracker'!$Y$8:$Y$256,"Recruiter Screen - Conducted")</f>
        <v>0</v>
      </c>
      <c r="D13" s="32">
        <f>COUNTIFS('Candidate Tracker'!$D$8:$D$256,$B13,'Candidate Tracker'!$Y$8:$Y$256,"Round 1 - Invite")</f>
        <v>0</v>
      </c>
      <c r="E13" s="32">
        <f>COUNTIFS('Candidate Tracker'!$D$8:$D$256,$B13,'Candidate Tracker'!$Y$8:$Y$256,"Round 1 - Conducted")</f>
        <v>0</v>
      </c>
      <c r="F13" s="32">
        <f>COUNTIFS('Candidate Tracker'!$D$8:$D$256,$B13,'Candidate Tracker'!$Y$8:$Y$256,"Round 2 - Invite")</f>
        <v>0</v>
      </c>
      <c r="G13" s="32">
        <f>COUNTIFS('Candidate Tracker'!$D$8:$D$256,$B13,'Candidate Tracker'!$Y$8:$Y$256,"Round 2 - Conducted")</f>
        <v>0</v>
      </c>
      <c r="H13" s="32">
        <f>COUNTIFS('Candidate Tracker'!$D$8:$D$256,$B13,'Candidate Tracker'!$Y$8:$Y$256,"Round 3 - Invite")</f>
        <v>0</v>
      </c>
      <c r="I13" s="32">
        <f>COUNTIFS('Candidate Tracker'!$D$8:$D$256,$B13,'Candidate Tracker'!$Y$8:$Y$256,"Round 3 - Conducted")</f>
        <v>0</v>
      </c>
      <c r="J13" s="5">
        <f>COUNTIFS('Candidate Tracker'!$D$8:$D$256,$B13,'Candidate Tracker'!$Y$8:$Y$256,"Offer Extended")</f>
        <v>0</v>
      </c>
      <c r="K13" s="5">
        <f>COUNTIFS('Candidate Tracker'!$D$8:$D$256,$B13,'Candidate Tracker'!$Y$8:$Y$256,"Hired and Ready to Onboard")</f>
        <v>0</v>
      </c>
    </row>
    <row r="14" spans="1:13" ht="30" customHeight="1">
      <c r="B14" s="4" t="s">
        <v>70</v>
      </c>
      <c r="C14" s="5">
        <f>COUNTIFS('Candidate Tracker'!$D$8:$D$256,$B14,'Candidate Tracker'!$Y$8:$Y$256,"Recruiter Screen - Being Scheduled")+COUNTIFS('Candidate Tracker'!$D$8:$D$256,$B14,'Candidate Tracker'!$Y$8:$Y$256,"Recruiter Screen - Invited")+COUNTIFS('Candidate Tracker'!$D$8:$D$256,$B14,'Candidate Tracker'!$Y$8:$Y$256,"Recruiter Screen - Conducted")</f>
        <v>6</v>
      </c>
      <c r="D14" s="32">
        <f>COUNTIFS('Candidate Tracker'!$D$8:$D$256,$B14,'Candidate Tracker'!$Y$8:$Y$256,"Round 1 - Invite")</f>
        <v>3</v>
      </c>
      <c r="E14" s="32">
        <f>COUNTIFS('Candidate Tracker'!$D$8:$D$256,$B14,'Candidate Tracker'!$Y$8:$Y$256,"Round 1 - Conducted")</f>
        <v>0</v>
      </c>
      <c r="F14" s="32">
        <f>COUNTIFS('Candidate Tracker'!$D$8:$D$256,$B14,'Candidate Tracker'!$Y$8:$Y$256,"Round 2 - Invite")</f>
        <v>0</v>
      </c>
      <c r="G14" s="32">
        <f>COUNTIFS('Candidate Tracker'!$D$8:$D$256,$B14,'Candidate Tracker'!$Y$8:$Y$256,"Round 2 - Conducted")</f>
        <v>0</v>
      </c>
      <c r="H14" s="32">
        <f>COUNTIFS('Candidate Tracker'!$D$8:$D$256,$B14,'Candidate Tracker'!$Y$8:$Y$256,"Round 3 - Invite")</f>
        <v>0</v>
      </c>
      <c r="I14" s="32">
        <f>COUNTIFS('Candidate Tracker'!$D$8:$D$256,$B14,'Candidate Tracker'!$Y$8:$Y$256,"Round 3 - Conducted")</f>
        <v>0</v>
      </c>
      <c r="J14" s="5">
        <f>COUNTIFS('Candidate Tracker'!$D$8:$D$256,$B14,'Candidate Tracker'!$Y$8:$Y$256,"Offer Extended")</f>
        <v>0</v>
      </c>
      <c r="K14" s="5">
        <f>COUNTIFS('Candidate Tracker'!$D$8:$D$256,$B14,'Candidate Tracker'!$Y$8:$Y$256,"Hired and Ready to Onboard")</f>
        <v>0</v>
      </c>
    </row>
    <row r="15" spans="1:13" ht="30" customHeight="1">
      <c r="B15" s="4" t="s">
        <v>71</v>
      </c>
      <c r="C15" s="5">
        <f>COUNTIFS('Candidate Tracker'!$D$8:$D$256,$B15,'Candidate Tracker'!$Y$8:$Y$256,"Recruiter Screen - Being Scheduled")+COUNTIFS('Candidate Tracker'!$D$8:$D$256,$B15,'Candidate Tracker'!$Y$8:$Y$256,"Recruiter Screen - Invited")+COUNTIFS('Candidate Tracker'!$D$8:$D$256,$B15,'Candidate Tracker'!$Y$8:$Y$256,"Recruiter Screen - Conducted")</f>
        <v>8</v>
      </c>
      <c r="D15" s="32">
        <f>COUNTIFS('Candidate Tracker'!$D$8:$D$256,$B15,'Candidate Tracker'!$Y$8:$Y$256,"Round 1 - Invite")</f>
        <v>4</v>
      </c>
      <c r="E15" s="32">
        <f>COUNTIFS('Candidate Tracker'!$D$8:$D$256,$B15,'Candidate Tracker'!$Y$8:$Y$256,"Round 1 - Conducted")</f>
        <v>0</v>
      </c>
      <c r="F15" s="32">
        <f>COUNTIFS('Candidate Tracker'!$D$8:$D$256,$B15,'Candidate Tracker'!$Y$8:$Y$256,"Round 2 - Invite")</f>
        <v>1</v>
      </c>
      <c r="G15" s="32">
        <f>COUNTIFS('Candidate Tracker'!$D$8:$D$256,$B15,'Candidate Tracker'!$Y$8:$Y$256,"Round 2 - Conducted")</f>
        <v>0</v>
      </c>
      <c r="H15" s="32">
        <f>COUNTIFS('Candidate Tracker'!$D$8:$D$256,$B15,'Candidate Tracker'!$Y$8:$Y$256,"Round 3 - Invite")</f>
        <v>0</v>
      </c>
      <c r="I15" s="32">
        <f>COUNTIFS('Candidate Tracker'!$D$8:$D$256,$B15,'Candidate Tracker'!$Y$8:$Y$256,"Round 3 - Conducted")</f>
        <v>0</v>
      </c>
      <c r="J15" s="5">
        <f>COUNTIFS('Candidate Tracker'!$D$8:$D$256,$B15,'Candidate Tracker'!$Y$8:$Y$256,"Offer Extended")</f>
        <v>0</v>
      </c>
      <c r="K15" s="5">
        <f>COUNTIFS('Candidate Tracker'!$D$8:$D$256,$B15,'Candidate Tracker'!$Y$8:$Y$256,"Hired and Ready to Onboard")</f>
        <v>0</v>
      </c>
    </row>
    <row r="16" spans="1:13" ht="30" customHeight="1">
      <c r="B16" s="6" t="s">
        <v>72</v>
      </c>
      <c r="C16" s="7">
        <f>SUM(C7:C15)</f>
        <v>34</v>
      </c>
      <c r="D16" s="7">
        <f t="shared" ref="D16:K16" si="0">SUM(D7:D15)</f>
        <v>15</v>
      </c>
      <c r="E16" s="7">
        <f t="shared" si="0"/>
        <v>5</v>
      </c>
      <c r="F16" s="7">
        <f t="shared" si="0"/>
        <v>8</v>
      </c>
      <c r="G16" s="7">
        <f t="shared" si="0"/>
        <v>0</v>
      </c>
      <c r="H16" s="7">
        <f t="shared" si="0"/>
        <v>1</v>
      </c>
      <c r="I16" s="7">
        <f t="shared" si="0"/>
        <v>0</v>
      </c>
      <c r="J16" s="7">
        <f t="shared" si="0"/>
        <v>0</v>
      </c>
      <c r="K16" s="7">
        <f t="shared" si="0"/>
        <v>1</v>
      </c>
      <c r="M16" s="80">
        <f>SUM(C16:K16)</f>
        <v>64</v>
      </c>
    </row>
  </sheetData>
  <mergeCells count="1">
    <mergeCell ref="B4:G5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4" tint="0.79998168889431442"/>
  </sheetPr>
  <dimension ref="B1:AD256"/>
  <sheetViews>
    <sheetView showGridLines="0" tabSelected="1" zoomScale="85" zoomScaleNormal="85" workbookViewId="0">
      <pane xSplit="3" ySplit="7" topLeftCell="E13" activePane="bottomRight" state="frozen"/>
      <selection pane="bottomRight" activeCell="M33" sqref="M33"/>
      <selection pane="bottomLeft" activeCell="A5" sqref="A5"/>
      <selection pane="topRight" activeCell="C1" sqref="C1"/>
    </sheetView>
  </sheetViews>
  <sheetFormatPr defaultColWidth="8.42578125" defaultRowHeight="12.75" customHeight="1"/>
  <cols>
    <col min="1" max="1" width="2.42578125" style="3" customWidth="1"/>
    <col min="2" max="2" width="13" style="3" customWidth="1"/>
    <col min="3" max="3" width="41.140625" style="3" customWidth="1"/>
    <col min="4" max="4" width="18" style="3" customWidth="1"/>
    <col min="5" max="5" width="36.28515625" style="3" customWidth="1"/>
    <col min="6" max="6" width="13" style="3" customWidth="1"/>
    <col min="7" max="7" width="45.7109375" style="3" customWidth="1"/>
    <col min="8" max="8" width="22.140625" style="3" customWidth="1"/>
    <col min="9" max="9" width="23" style="3" customWidth="1"/>
    <col min="10" max="11" width="18" style="3" customWidth="1"/>
    <col min="12" max="12" width="13" style="3" customWidth="1"/>
    <col min="13" max="13" width="22" style="3" customWidth="1"/>
    <col min="14" max="14" width="14" style="3" customWidth="1"/>
    <col min="15" max="15" width="15.42578125" style="3" bestFit="1" customWidth="1"/>
    <col min="16" max="16" width="13" style="3" customWidth="1"/>
    <col min="17" max="19" width="26" style="3" customWidth="1"/>
    <col min="20" max="20" width="14" style="3" customWidth="1"/>
    <col min="21" max="21" width="15.42578125" style="3" bestFit="1" customWidth="1"/>
    <col min="22" max="22" width="13" style="3" customWidth="1"/>
    <col min="23" max="23" width="22" style="3" customWidth="1"/>
    <col min="24" max="24" width="14" style="3" customWidth="1"/>
    <col min="25" max="25" width="51.140625" style="3" customWidth="1"/>
    <col min="26" max="26" width="12" style="3" customWidth="1"/>
    <col min="27" max="27" width="10.85546875" style="3" bestFit="1" customWidth="1"/>
    <col min="28" max="28" width="12" style="3" customWidth="1"/>
    <col min="29" max="29" width="38" style="3" customWidth="1"/>
    <col min="30" max="16384" width="8.42578125" style="3"/>
  </cols>
  <sheetData>
    <row r="1" spans="2:30" s="1" customFormat="1" ht="24.95" customHeight="1">
      <c r="AD1" s="2"/>
    </row>
    <row r="2" spans="2:30" s="2" customFormat="1" ht="24.95" customHeight="1"/>
    <row r="4" spans="2:30" ht="30" customHeight="1">
      <c r="B4" s="98" t="s">
        <v>73</v>
      </c>
      <c r="C4" s="98"/>
      <c r="D4" s="98"/>
      <c r="E4" s="98"/>
      <c r="F4" s="98"/>
      <c r="G4" s="98"/>
      <c r="H4" s="98"/>
      <c r="I4" s="98"/>
      <c r="J4" s="98"/>
      <c r="K4" s="98"/>
      <c r="L4" s="98"/>
      <c r="M4" s="98"/>
      <c r="N4" s="98"/>
      <c r="O4" s="98"/>
      <c r="P4" s="98"/>
      <c r="Q4" s="98"/>
      <c r="R4" s="98"/>
      <c r="S4" s="98"/>
      <c r="T4" s="98"/>
      <c r="U4" s="98"/>
      <c r="V4" s="98"/>
      <c r="W4" s="98"/>
      <c r="X4" s="98"/>
      <c r="Y4" s="98"/>
      <c r="Z4" s="98"/>
      <c r="AA4" s="98"/>
      <c r="AB4" s="98"/>
      <c r="AC4" s="98"/>
    </row>
    <row r="5" spans="2:30" ht="27.75" customHeight="1">
      <c r="B5" s="107" t="s">
        <v>74</v>
      </c>
      <c r="C5" s="107"/>
      <c r="D5" s="107"/>
      <c r="E5" s="107"/>
      <c r="F5" s="107"/>
      <c r="G5" s="107"/>
      <c r="H5" s="107"/>
      <c r="I5" s="107"/>
      <c r="J5" s="107"/>
      <c r="K5" s="107"/>
      <c r="L5" s="107"/>
      <c r="M5" s="107"/>
      <c r="N5" s="107"/>
      <c r="O5" s="107"/>
      <c r="P5" s="107"/>
      <c r="Q5" s="107"/>
      <c r="R5" s="107"/>
      <c r="S5" s="107"/>
      <c r="T5" s="107"/>
      <c r="U5" s="107"/>
      <c r="V5" s="107"/>
      <c r="W5" s="107"/>
      <c r="X5" s="107"/>
      <c r="Y5" s="107"/>
      <c r="Z5" s="107"/>
      <c r="AA5" s="107"/>
      <c r="AB5" s="107"/>
      <c r="AC5" s="107"/>
    </row>
    <row r="7" spans="2:30" ht="36" customHeight="1">
      <c r="B7" s="8" t="s">
        <v>75</v>
      </c>
      <c r="C7" s="8" t="s">
        <v>76</v>
      </c>
      <c r="D7" s="8" t="s">
        <v>77</v>
      </c>
      <c r="E7" s="8" t="s">
        <v>78</v>
      </c>
      <c r="F7" s="8" t="s">
        <v>79</v>
      </c>
      <c r="G7" s="8" t="s">
        <v>80</v>
      </c>
      <c r="H7" s="37" t="s">
        <v>81</v>
      </c>
      <c r="I7" s="37" t="s">
        <v>82</v>
      </c>
      <c r="J7" s="37" t="s">
        <v>83</v>
      </c>
      <c r="K7" s="39" t="s">
        <v>84</v>
      </c>
      <c r="L7" s="39" t="s">
        <v>85</v>
      </c>
      <c r="M7" s="39" t="s">
        <v>86</v>
      </c>
      <c r="N7" s="39" t="s">
        <v>87</v>
      </c>
      <c r="O7" s="40" t="s">
        <v>88</v>
      </c>
      <c r="P7" s="40" t="s">
        <v>89</v>
      </c>
      <c r="Q7" s="40" t="s">
        <v>90</v>
      </c>
      <c r="R7" s="40" t="s">
        <v>91</v>
      </c>
      <c r="S7" s="40" t="s">
        <v>92</v>
      </c>
      <c r="T7" s="40" t="s">
        <v>93</v>
      </c>
      <c r="U7" s="41" t="s">
        <v>94</v>
      </c>
      <c r="V7" s="41" t="s">
        <v>95</v>
      </c>
      <c r="W7" s="41" t="s">
        <v>96</v>
      </c>
      <c r="X7" s="41" t="s">
        <v>97</v>
      </c>
      <c r="Y7" s="42" t="s">
        <v>98</v>
      </c>
      <c r="Z7" s="42" t="s">
        <v>20</v>
      </c>
      <c r="AA7" s="42" t="s">
        <v>99</v>
      </c>
      <c r="AB7" s="42" t="s">
        <v>100</v>
      </c>
      <c r="AC7" s="42" t="s">
        <v>101</v>
      </c>
    </row>
    <row r="8" spans="2:30" ht="15" customHeight="1">
      <c r="B8" s="9" t="str">
        <f t="shared" ref="B8:B71" si="0">IF(C8="","","FDE-"&amp;TEXT(ROW()-7,"000"))</f>
        <v>FDE-001</v>
      </c>
      <c r="C8" s="11" t="s">
        <v>102</v>
      </c>
      <c r="D8" s="9" t="s">
        <v>65</v>
      </c>
      <c r="E8" s="9" t="s">
        <v>103</v>
      </c>
      <c r="F8" s="10"/>
      <c r="G8" s="11" t="s">
        <v>104</v>
      </c>
      <c r="H8" s="36" t="str">
        <f ca="1">IF(OR(F8="",F8&gt;TODAY()),"N/A",IF(I8="",TODAY()-F8,I8-F8))</f>
        <v>N/A</v>
      </c>
      <c r="I8" s="10"/>
      <c r="J8" s="9" t="s">
        <v>105</v>
      </c>
      <c r="K8" s="36" t="str">
        <f ca="1">IF(OR(J8="Fail",I8="",I8&gt;TODAY()),"N/A",IF(L8="",TODAY()-I8,L8-I8))</f>
        <v>N/A</v>
      </c>
      <c r="L8" s="10">
        <v>46148</v>
      </c>
      <c r="M8" s="11" t="s">
        <v>106</v>
      </c>
      <c r="N8" s="9"/>
      <c r="O8" s="9" t="str">
        <f ca="1">IF(OR(N8="Fail",L8="",L8&gt;TODAY()),"N/A",IF(P8="",TODAY()-L8,P8-L8))</f>
        <v>N/A</v>
      </c>
      <c r="P8" s="10"/>
      <c r="Q8" s="11"/>
      <c r="R8" s="11"/>
      <c r="S8" s="11"/>
      <c r="T8" s="9"/>
      <c r="U8" s="9" t="str">
        <f ca="1">IF(OR(T8="Fail",P8="",P8&gt;TODAY()),"N/A",IF(V8="",TODAY()-P8,V8-P8))</f>
        <v>N/A</v>
      </c>
      <c r="V8" s="10"/>
      <c r="W8" s="11"/>
      <c r="X8" s="9"/>
      <c r="Y8" s="9" t="s">
        <v>107</v>
      </c>
      <c r="Z8" s="9" t="s">
        <v>108</v>
      </c>
      <c r="AA8" s="10"/>
      <c r="AB8" s="10"/>
      <c r="AC8" s="11"/>
    </row>
    <row r="9" spans="2:30" ht="15" customHeight="1">
      <c r="B9" s="9" t="str">
        <f t="shared" si="0"/>
        <v>FDE-002</v>
      </c>
      <c r="C9" s="11" t="s">
        <v>109</v>
      </c>
      <c r="D9" s="9" t="s">
        <v>70</v>
      </c>
      <c r="E9" s="9" t="s">
        <v>103</v>
      </c>
      <c r="F9" s="10"/>
      <c r="G9" s="11" t="s">
        <v>110</v>
      </c>
      <c r="H9" s="36" t="str">
        <f t="shared" ref="H9:H72" ca="1" si="1">IF(OR(F9="",F9&gt;TODAY()),"N/A",IF(I9="",TODAY()-F9,I9-F9))</f>
        <v>N/A</v>
      </c>
      <c r="I9" s="10"/>
      <c r="J9" s="9" t="s">
        <v>105</v>
      </c>
      <c r="K9" s="36" t="str">
        <f t="shared" ref="K9:K72" ca="1" si="2">IF(OR(J9="Fail",I9="",I9&gt;TODAY()),"N/A",IF(L9="",TODAY()-I9,L9-I9))</f>
        <v>N/A</v>
      </c>
      <c r="L9" s="10">
        <v>46148</v>
      </c>
      <c r="M9" s="11" t="s">
        <v>111</v>
      </c>
      <c r="N9" s="9"/>
      <c r="O9" s="9" t="str">
        <f t="shared" ref="O9:O72" ca="1" si="3">IF(OR(N9="Fail",L9="",L9&gt;TODAY()),"N/A",IF(P9="",TODAY()-L9,P9-L9))</f>
        <v>N/A</v>
      </c>
      <c r="P9" s="10"/>
      <c r="Q9" s="11"/>
      <c r="R9" s="11"/>
      <c r="S9" s="11"/>
      <c r="T9" s="9"/>
      <c r="U9" s="9" t="str">
        <f t="shared" ref="U9:U72" ca="1" si="4">IF(OR(T9="Fail",P9="",P9&gt;TODAY()),"N/A",IF(V9="",TODAY()-P9,V9-P9))</f>
        <v>N/A</v>
      </c>
      <c r="V9" s="10"/>
      <c r="W9" s="11"/>
      <c r="X9" s="9"/>
      <c r="Y9" s="9" t="s">
        <v>107</v>
      </c>
      <c r="Z9" s="9" t="s">
        <v>108</v>
      </c>
      <c r="AA9" s="10"/>
      <c r="AB9" s="10"/>
      <c r="AC9" s="11"/>
    </row>
    <row r="10" spans="2:30" ht="15" customHeight="1">
      <c r="B10" s="9" t="str">
        <f t="shared" si="0"/>
        <v>FDE-003</v>
      </c>
      <c r="C10" s="11" t="s">
        <v>112</v>
      </c>
      <c r="D10" s="9" t="s">
        <v>65</v>
      </c>
      <c r="E10" s="9" t="s">
        <v>103</v>
      </c>
      <c r="F10" s="10"/>
      <c r="G10" s="11" t="s">
        <v>104</v>
      </c>
      <c r="H10" s="36" t="str">
        <f t="shared" ca="1" si="1"/>
        <v>N/A</v>
      </c>
      <c r="I10" s="10"/>
      <c r="J10" s="9" t="s">
        <v>105</v>
      </c>
      <c r="K10" s="36" t="str">
        <f t="shared" ca="1" si="2"/>
        <v>N/A</v>
      </c>
      <c r="L10" s="10">
        <v>46148</v>
      </c>
      <c r="M10" s="11" t="s">
        <v>113</v>
      </c>
      <c r="N10" s="9"/>
      <c r="O10" s="9" t="str">
        <f t="shared" ca="1" si="3"/>
        <v>N/A</v>
      </c>
      <c r="P10" s="10"/>
      <c r="Q10" s="11"/>
      <c r="R10" s="11"/>
      <c r="S10" s="11"/>
      <c r="T10" s="9"/>
      <c r="U10" s="9" t="str">
        <f t="shared" ca="1" si="4"/>
        <v>N/A</v>
      </c>
      <c r="V10" s="10"/>
      <c r="W10" s="11"/>
      <c r="X10" s="9"/>
      <c r="Y10" s="9" t="s">
        <v>107</v>
      </c>
      <c r="Z10" s="9" t="s">
        <v>108</v>
      </c>
      <c r="AA10" s="10"/>
      <c r="AB10" s="10"/>
      <c r="AC10" s="11"/>
    </row>
    <row r="11" spans="2:30" ht="15" customHeight="1">
      <c r="B11" s="9" t="str">
        <f t="shared" si="0"/>
        <v>FDE-004</v>
      </c>
      <c r="C11" s="11" t="s">
        <v>114</v>
      </c>
      <c r="D11" s="9" t="s">
        <v>65</v>
      </c>
      <c r="E11" s="9" t="s">
        <v>103</v>
      </c>
      <c r="F11" s="10"/>
      <c r="G11" s="11" t="s">
        <v>104</v>
      </c>
      <c r="H11" s="36" t="str">
        <f t="shared" ca="1" si="1"/>
        <v>N/A</v>
      </c>
      <c r="I11" s="10"/>
      <c r="J11" s="9" t="s">
        <v>105</v>
      </c>
      <c r="K11" s="36" t="str">
        <f t="shared" ca="1" si="2"/>
        <v>N/A</v>
      </c>
      <c r="L11" s="10">
        <v>46147</v>
      </c>
      <c r="M11" s="11" t="s">
        <v>115</v>
      </c>
      <c r="N11" s="9"/>
      <c r="O11" s="9" t="str">
        <f t="shared" ca="1" si="3"/>
        <v>N/A</v>
      </c>
      <c r="P11" s="10"/>
      <c r="Q11" s="11"/>
      <c r="R11" s="11"/>
      <c r="S11" s="11"/>
      <c r="T11" s="9"/>
      <c r="U11" s="9" t="str">
        <f t="shared" ca="1" si="4"/>
        <v>N/A</v>
      </c>
      <c r="V11" s="10"/>
      <c r="W11" s="11"/>
      <c r="X11" s="9"/>
      <c r="Y11" s="9" t="s">
        <v>107</v>
      </c>
      <c r="Z11" s="9" t="s">
        <v>108</v>
      </c>
      <c r="AA11" s="10"/>
      <c r="AB11" s="10"/>
      <c r="AC11" s="11"/>
    </row>
    <row r="12" spans="2:30" ht="15" customHeight="1">
      <c r="B12" s="9" t="str">
        <f t="shared" si="0"/>
        <v>FDE-005</v>
      </c>
      <c r="C12" s="11" t="s">
        <v>116</v>
      </c>
      <c r="D12" s="9" t="s">
        <v>64</v>
      </c>
      <c r="E12" s="9" t="s">
        <v>117</v>
      </c>
      <c r="F12" s="10"/>
      <c r="G12" s="11" t="s">
        <v>110</v>
      </c>
      <c r="H12" s="36" t="str">
        <f t="shared" ca="1" si="1"/>
        <v>N/A</v>
      </c>
      <c r="I12" s="10"/>
      <c r="J12" s="9" t="s">
        <v>105</v>
      </c>
      <c r="K12" s="36" t="str">
        <f t="shared" ca="1" si="2"/>
        <v>N/A</v>
      </c>
      <c r="L12" s="10">
        <v>46146</v>
      </c>
      <c r="M12" s="11" t="s">
        <v>113</v>
      </c>
      <c r="N12" s="9"/>
      <c r="O12" s="9">
        <f t="shared" ca="1" si="3"/>
        <v>0</v>
      </c>
      <c r="P12" s="10"/>
      <c r="Q12" s="11"/>
      <c r="R12" s="11"/>
      <c r="S12" s="11"/>
      <c r="T12" s="9"/>
      <c r="U12" s="9" t="str">
        <f t="shared" ca="1" si="4"/>
        <v>N/A</v>
      </c>
      <c r="V12" s="10"/>
      <c r="W12" s="11"/>
      <c r="X12" s="9"/>
      <c r="Y12" s="9" t="s">
        <v>107</v>
      </c>
      <c r="Z12" s="9" t="s">
        <v>108</v>
      </c>
      <c r="AA12" s="10"/>
      <c r="AB12" s="10"/>
      <c r="AC12" s="11"/>
    </row>
    <row r="13" spans="2:30" ht="15" customHeight="1">
      <c r="B13" s="9" t="str">
        <f t="shared" si="0"/>
        <v>FDE-006</v>
      </c>
      <c r="C13" s="11" t="s">
        <v>118</v>
      </c>
      <c r="D13" s="9" t="s">
        <v>71</v>
      </c>
      <c r="E13" s="9" t="s">
        <v>103</v>
      </c>
      <c r="F13" s="10"/>
      <c r="G13" s="11" t="s">
        <v>119</v>
      </c>
      <c r="H13" s="36" t="str">
        <f t="shared" ca="1" si="1"/>
        <v>N/A</v>
      </c>
      <c r="I13" s="10"/>
      <c r="J13" s="9" t="s">
        <v>105</v>
      </c>
      <c r="K13" s="36" t="str">
        <f t="shared" ca="1" si="2"/>
        <v>N/A</v>
      </c>
      <c r="L13" s="10">
        <v>46143</v>
      </c>
      <c r="M13" s="11" t="s">
        <v>120</v>
      </c>
      <c r="N13" s="9"/>
      <c r="O13" s="9">
        <f t="shared" ca="1" si="3"/>
        <v>3</v>
      </c>
      <c r="P13" s="10"/>
      <c r="Q13" s="11"/>
      <c r="R13" s="11"/>
      <c r="S13" s="11"/>
      <c r="T13" s="9"/>
      <c r="U13" s="9" t="str">
        <f t="shared" ca="1" si="4"/>
        <v>N/A</v>
      </c>
      <c r="V13" s="10"/>
      <c r="W13" s="11"/>
      <c r="X13" s="9"/>
      <c r="Y13" s="9" t="s">
        <v>107</v>
      </c>
      <c r="Z13" s="9" t="s">
        <v>108</v>
      </c>
      <c r="AA13" s="10"/>
      <c r="AB13" s="10"/>
      <c r="AC13" s="11"/>
    </row>
    <row r="14" spans="2:30" ht="15" customHeight="1">
      <c r="B14" s="9" t="str">
        <f t="shared" si="0"/>
        <v>FDE-007</v>
      </c>
      <c r="C14" s="11" t="s">
        <v>121</v>
      </c>
      <c r="D14" s="9" t="s">
        <v>64</v>
      </c>
      <c r="E14" s="9" t="s">
        <v>122</v>
      </c>
      <c r="F14" s="10"/>
      <c r="G14" s="11" t="s">
        <v>110</v>
      </c>
      <c r="H14" s="36" t="str">
        <f t="shared" ca="1" si="1"/>
        <v>N/A</v>
      </c>
      <c r="I14" s="10"/>
      <c r="J14" s="9" t="s">
        <v>105</v>
      </c>
      <c r="K14" s="36" t="str">
        <f t="shared" ca="1" si="2"/>
        <v>N/A</v>
      </c>
      <c r="L14" s="10">
        <v>46143</v>
      </c>
      <c r="M14" s="11" t="s">
        <v>123</v>
      </c>
      <c r="N14" s="9"/>
      <c r="O14" s="9">
        <f t="shared" ca="1" si="3"/>
        <v>3</v>
      </c>
      <c r="P14" s="10"/>
      <c r="Q14" s="11"/>
      <c r="R14" s="11"/>
      <c r="S14" s="11"/>
      <c r="T14" s="9"/>
      <c r="U14" s="9" t="str">
        <f t="shared" ca="1" si="4"/>
        <v>N/A</v>
      </c>
      <c r="V14" s="10"/>
      <c r="W14" s="11"/>
      <c r="X14" s="9"/>
      <c r="Y14" s="9" t="s">
        <v>107</v>
      </c>
      <c r="Z14" s="9" t="s">
        <v>108</v>
      </c>
      <c r="AA14" s="10"/>
      <c r="AB14" s="10"/>
      <c r="AC14" s="11"/>
    </row>
    <row r="15" spans="2:30" ht="15" customHeight="1">
      <c r="B15" s="9" t="str">
        <f t="shared" si="0"/>
        <v>FDE-008</v>
      </c>
      <c r="C15" s="11" t="s">
        <v>124</v>
      </c>
      <c r="D15" s="9" t="s">
        <v>71</v>
      </c>
      <c r="E15" s="9" t="s">
        <v>125</v>
      </c>
      <c r="F15" s="10"/>
      <c r="G15" s="11" t="s">
        <v>119</v>
      </c>
      <c r="H15" s="36" t="str">
        <f t="shared" ca="1" si="1"/>
        <v>N/A</v>
      </c>
      <c r="I15" s="10"/>
      <c r="J15" s="9" t="s">
        <v>105</v>
      </c>
      <c r="K15" s="36" t="str">
        <f t="shared" ca="1" si="2"/>
        <v>N/A</v>
      </c>
      <c r="L15" s="10">
        <v>46143</v>
      </c>
      <c r="M15" s="11" t="s">
        <v>126</v>
      </c>
      <c r="N15" s="9"/>
      <c r="O15" s="9">
        <f t="shared" ca="1" si="3"/>
        <v>3</v>
      </c>
      <c r="P15" s="10"/>
      <c r="Q15" s="11"/>
      <c r="R15" s="11"/>
      <c r="S15" s="11"/>
      <c r="T15" s="9"/>
      <c r="U15" s="9" t="str">
        <f t="shared" ca="1" si="4"/>
        <v>N/A</v>
      </c>
      <c r="V15" s="10"/>
      <c r="W15" s="11"/>
      <c r="X15" s="9"/>
      <c r="Y15" s="9" t="s">
        <v>107</v>
      </c>
      <c r="Z15" s="9" t="s">
        <v>108</v>
      </c>
      <c r="AA15" s="10"/>
      <c r="AB15" s="10"/>
      <c r="AC15" s="11"/>
    </row>
    <row r="16" spans="2:30" ht="15" customHeight="1">
      <c r="B16" s="9" t="str">
        <f t="shared" si="0"/>
        <v>FDE-009</v>
      </c>
      <c r="C16" s="11" t="s">
        <v>127</v>
      </c>
      <c r="D16" s="9" t="s">
        <v>65</v>
      </c>
      <c r="E16" s="9" t="s">
        <v>103</v>
      </c>
      <c r="F16" s="10"/>
      <c r="G16" s="11" t="s">
        <v>104</v>
      </c>
      <c r="H16" s="36" t="str">
        <f t="shared" ca="1" si="1"/>
        <v>N/A</v>
      </c>
      <c r="I16" s="10"/>
      <c r="J16" s="9" t="s">
        <v>105</v>
      </c>
      <c r="K16" s="36" t="str">
        <f t="shared" ca="1" si="2"/>
        <v>N/A</v>
      </c>
      <c r="L16" s="10">
        <v>46143</v>
      </c>
      <c r="M16" s="11" t="s">
        <v>106</v>
      </c>
      <c r="N16" s="9"/>
      <c r="O16" s="9">
        <f t="shared" ca="1" si="3"/>
        <v>3</v>
      </c>
      <c r="P16" s="10"/>
      <c r="Q16" s="11"/>
      <c r="R16" s="11"/>
      <c r="S16" s="11"/>
      <c r="T16" s="9"/>
      <c r="U16" s="9" t="str">
        <f t="shared" ca="1" si="4"/>
        <v>N/A</v>
      </c>
      <c r="V16" s="10"/>
      <c r="W16" s="11"/>
      <c r="X16" s="9"/>
      <c r="Y16" s="9" t="s">
        <v>107</v>
      </c>
      <c r="Z16" s="9" t="s">
        <v>108</v>
      </c>
      <c r="AA16" s="10"/>
      <c r="AB16" s="10"/>
      <c r="AC16" s="11"/>
    </row>
    <row r="17" spans="2:29" ht="15" customHeight="1">
      <c r="B17" s="9" t="str">
        <f t="shared" si="0"/>
        <v>FDE-010</v>
      </c>
      <c r="C17" s="11" t="s">
        <v>128</v>
      </c>
      <c r="D17" s="9" t="s">
        <v>64</v>
      </c>
      <c r="E17" s="9" t="s">
        <v>129</v>
      </c>
      <c r="F17" s="10"/>
      <c r="G17" s="11" t="s">
        <v>110</v>
      </c>
      <c r="H17" s="36" t="str">
        <f t="shared" ca="1" si="1"/>
        <v>N/A</v>
      </c>
      <c r="I17" s="10"/>
      <c r="J17" s="9" t="s">
        <v>105</v>
      </c>
      <c r="K17" s="36" t="str">
        <f t="shared" ca="1" si="2"/>
        <v>N/A</v>
      </c>
      <c r="L17" s="10">
        <v>46142</v>
      </c>
      <c r="M17" s="11" t="s">
        <v>113</v>
      </c>
      <c r="N17" s="9"/>
      <c r="O17" s="9">
        <f t="shared" ca="1" si="3"/>
        <v>4</v>
      </c>
      <c r="P17" s="10"/>
      <c r="Q17" s="11"/>
      <c r="R17" s="11"/>
      <c r="S17" s="11"/>
      <c r="T17" s="9"/>
      <c r="U17" s="9" t="str">
        <f t="shared" ca="1" si="4"/>
        <v>N/A</v>
      </c>
      <c r="V17" s="10"/>
      <c r="W17" s="11"/>
      <c r="X17" s="9"/>
      <c r="Y17" s="9" t="s">
        <v>130</v>
      </c>
      <c r="Z17" s="9" t="s">
        <v>108</v>
      </c>
      <c r="AA17" s="10"/>
      <c r="AB17" s="10"/>
      <c r="AC17" s="11"/>
    </row>
    <row r="18" spans="2:29" ht="15" customHeight="1">
      <c r="B18" s="9" t="str">
        <f t="shared" si="0"/>
        <v>FDE-011</v>
      </c>
      <c r="C18" s="11" t="s">
        <v>131</v>
      </c>
      <c r="D18" s="9" t="s">
        <v>64</v>
      </c>
      <c r="E18" s="9" t="s">
        <v>122</v>
      </c>
      <c r="F18" s="10"/>
      <c r="G18" s="11" t="s">
        <v>110</v>
      </c>
      <c r="H18" s="36" t="str">
        <f t="shared" ca="1" si="1"/>
        <v>N/A</v>
      </c>
      <c r="I18" s="10"/>
      <c r="J18" s="9" t="s">
        <v>105</v>
      </c>
      <c r="K18" s="36" t="str">
        <f t="shared" ca="1" si="2"/>
        <v>N/A</v>
      </c>
      <c r="L18" s="10">
        <v>46141</v>
      </c>
      <c r="M18" s="11" t="s">
        <v>115</v>
      </c>
      <c r="N18" s="9"/>
      <c r="O18" s="9">
        <f t="shared" ca="1" si="3"/>
        <v>5</v>
      </c>
      <c r="P18" s="10"/>
      <c r="Q18" s="11"/>
      <c r="R18" s="11"/>
      <c r="S18" s="11"/>
      <c r="T18" s="9"/>
      <c r="U18" s="9" t="str">
        <f t="shared" ca="1" si="4"/>
        <v>N/A</v>
      </c>
      <c r="V18" s="10"/>
      <c r="W18" s="11"/>
      <c r="X18" s="9"/>
      <c r="Y18" s="9" t="s">
        <v>130</v>
      </c>
      <c r="Z18" s="9" t="s">
        <v>108</v>
      </c>
      <c r="AA18" s="10"/>
      <c r="AB18" s="10"/>
      <c r="AC18" s="11"/>
    </row>
    <row r="19" spans="2:29" ht="15" customHeight="1">
      <c r="B19" s="9" t="str">
        <f t="shared" si="0"/>
        <v>FDE-012</v>
      </c>
      <c r="C19" s="11" t="s">
        <v>132</v>
      </c>
      <c r="D19" s="9" t="s">
        <v>64</v>
      </c>
      <c r="E19" s="9" t="s">
        <v>103</v>
      </c>
      <c r="F19" s="10"/>
      <c r="G19" s="11" t="s">
        <v>110</v>
      </c>
      <c r="H19" s="36" t="str">
        <f t="shared" ca="1" si="1"/>
        <v>N/A</v>
      </c>
      <c r="I19" s="10"/>
      <c r="J19" s="9" t="s">
        <v>105</v>
      </c>
      <c r="K19" s="36" t="str">
        <f t="shared" ca="1" si="2"/>
        <v>N/A</v>
      </c>
      <c r="L19" s="10">
        <v>46141</v>
      </c>
      <c r="M19" s="11" t="s">
        <v>113</v>
      </c>
      <c r="N19" s="9"/>
      <c r="O19" s="9">
        <f t="shared" ca="1" si="3"/>
        <v>5</v>
      </c>
      <c r="P19" s="10"/>
      <c r="Q19" s="11"/>
      <c r="R19" s="11"/>
      <c r="S19" s="11"/>
      <c r="T19" s="9"/>
      <c r="U19" s="9" t="str">
        <f t="shared" ca="1" si="4"/>
        <v>N/A</v>
      </c>
      <c r="V19" s="10"/>
      <c r="W19" s="11"/>
      <c r="X19" s="9"/>
      <c r="Y19" s="9" t="s">
        <v>130</v>
      </c>
      <c r="Z19" s="9" t="s">
        <v>108</v>
      </c>
      <c r="AA19" s="10"/>
      <c r="AB19" s="10"/>
      <c r="AC19" s="11"/>
    </row>
    <row r="20" spans="2:29" ht="15" customHeight="1">
      <c r="B20" s="9" t="str">
        <f t="shared" si="0"/>
        <v>FDE-013</v>
      </c>
      <c r="C20" s="11" t="s">
        <v>133</v>
      </c>
      <c r="D20" s="9" t="s">
        <v>63</v>
      </c>
      <c r="E20" s="9" t="s">
        <v>122</v>
      </c>
      <c r="F20" s="10"/>
      <c r="G20" s="11" t="s">
        <v>104</v>
      </c>
      <c r="H20" s="36" t="str">
        <f t="shared" ca="1" si="1"/>
        <v>N/A</v>
      </c>
      <c r="I20" s="10"/>
      <c r="J20" s="9" t="s">
        <v>105</v>
      </c>
      <c r="K20" s="36" t="str">
        <f t="shared" ca="1" si="2"/>
        <v>N/A</v>
      </c>
      <c r="L20" s="10">
        <v>46141</v>
      </c>
      <c r="M20" s="11" t="s">
        <v>134</v>
      </c>
      <c r="N20" s="9"/>
      <c r="O20" s="9">
        <f t="shared" ca="1" si="3"/>
        <v>5</v>
      </c>
      <c r="P20" s="10"/>
      <c r="Q20" s="11"/>
      <c r="R20" s="11"/>
      <c r="S20" s="11"/>
      <c r="T20" s="9"/>
      <c r="U20" s="9" t="str">
        <f t="shared" ca="1" si="4"/>
        <v>N/A</v>
      </c>
      <c r="V20" s="10"/>
      <c r="W20" s="11"/>
      <c r="X20" s="9"/>
      <c r="Y20" s="9" t="s">
        <v>135</v>
      </c>
      <c r="Z20" s="9" t="s">
        <v>108</v>
      </c>
      <c r="AA20" s="10"/>
      <c r="AB20" s="10"/>
      <c r="AC20" s="11"/>
    </row>
    <row r="21" spans="2:29" ht="15" customHeight="1">
      <c r="B21" s="9" t="str">
        <f t="shared" si="0"/>
        <v>FDE-014</v>
      </c>
      <c r="C21" s="11" t="s">
        <v>136</v>
      </c>
      <c r="D21" s="9" t="s">
        <v>63</v>
      </c>
      <c r="E21" s="9" t="s">
        <v>129</v>
      </c>
      <c r="F21" s="10"/>
      <c r="G21" s="11" t="s">
        <v>104</v>
      </c>
      <c r="H21" s="36" t="str">
        <f t="shared" ca="1" si="1"/>
        <v>N/A</v>
      </c>
      <c r="I21" s="10"/>
      <c r="J21" s="9" t="s">
        <v>105</v>
      </c>
      <c r="K21" s="36" t="str">
        <f t="shared" ca="1" si="2"/>
        <v>N/A</v>
      </c>
      <c r="L21" s="10">
        <v>46140</v>
      </c>
      <c r="M21" s="11" t="s">
        <v>137</v>
      </c>
      <c r="N21" s="9"/>
      <c r="O21" s="9">
        <f t="shared" ca="1" si="3"/>
        <v>6</v>
      </c>
      <c r="P21" s="10"/>
      <c r="Q21" s="11"/>
      <c r="R21" s="11"/>
      <c r="S21" s="11"/>
      <c r="T21" s="9"/>
      <c r="U21" s="9" t="str">
        <f t="shared" ca="1" si="4"/>
        <v>N/A</v>
      </c>
      <c r="V21" s="10"/>
      <c r="W21" s="11"/>
      <c r="X21" s="9"/>
      <c r="Y21" s="9" t="s">
        <v>130</v>
      </c>
      <c r="Z21" s="9" t="s">
        <v>108</v>
      </c>
      <c r="AA21" s="10"/>
      <c r="AB21" s="10"/>
      <c r="AC21" s="11"/>
    </row>
    <row r="22" spans="2:29" ht="15" customHeight="1">
      <c r="B22" s="9" t="str">
        <f t="shared" si="0"/>
        <v>FDE-015</v>
      </c>
      <c r="C22" s="11" t="s">
        <v>138</v>
      </c>
      <c r="D22" s="9" t="s">
        <v>65</v>
      </c>
      <c r="E22" s="9" t="s">
        <v>103</v>
      </c>
      <c r="F22" s="10"/>
      <c r="G22" s="11" t="s">
        <v>104</v>
      </c>
      <c r="H22" s="36" t="str">
        <f t="shared" ca="1" si="1"/>
        <v>N/A</v>
      </c>
      <c r="I22" s="10"/>
      <c r="J22" s="9" t="s">
        <v>105</v>
      </c>
      <c r="K22" s="36" t="str">
        <f t="shared" ca="1" si="2"/>
        <v>N/A</v>
      </c>
      <c r="L22" s="10">
        <v>46139</v>
      </c>
      <c r="M22" s="11" t="s">
        <v>106</v>
      </c>
      <c r="N22" s="9" t="s">
        <v>105</v>
      </c>
      <c r="O22" s="9">
        <f t="shared" ca="1" si="3"/>
        <v>7</v>
      </c>
      <c r="P22" s="10"/>
      <c r="Q22" s="11"/>
      <c r="R22" s="11"/>
      <c r="S22" s="11"/>
      <c r="T22" s="9"/>
      <c r="U22" s="9" t="str">
        <f t="shared" ca="1" si="4"/>
        <v>N/A</v>
      </c>
      <c r="V22" s="10"/>
      <c r="W22" s="11"/>
      <c r="X22" s="9"/>
      <c r="Y22" s="9" t="s">
        <v>135</v>
      </c>
      <c r="Z22" s="9" t="s">
        <v>108</v>
      </c>
      <c r="AA22" s="10"/>
      <c r="AB22" s="10"/>
      <c r="AC22" s="11"/>
    </row>
    <row r="23" spans="2:29" ht="15" customHeight="1">
      <c r="B23" s="9" t="str">
        <f t="shared" si="0"/>
        <v>FDE-016</v>
      </c>
      <c r="C23" s="11" t="s">
        <v>139</v>
      </c>
      <c r="D23" s="9" t="s">
        <v>64</v>
      </c>
      <c r="E23" s="9" t="s">
        <v>103</v>
      </c>
      <c r="F23" s="10"/>
      <c r="G23" s="11" t="s">
        <v>110</v>
      </c>
      <c r="H23" s="36" t="str">
        <f t="shared" ca="1" si="1"/>
        <v>N/A</v>
      </c>
      <c r="I23" s="10"/>
      <c r="J23" s="9" t="s">
        <v>105</v>
      </c>
      <c r="K23" s="36" t="str">
        <f t="shared" ca="1" si="2"/>
        <v>N/A</v>
      </c>
      <c r="L23" s="10">
        <v>46139</v>
      </c>
      <c r="M23" s="11" t="s">
        <v>140</v>
      </c>
      <c r="N23" s="9" t="s">
        <v>105</v>
      </c>
      <c r="O23" s="9">
        <f t="shared" ca="1" si="3"/>
        <v>8</v>
      </c>
      <c r="P23" s="10">
        <v>46147</v>
      </c>
      <c r="Q23" s="11" t="s">
        <v>141</v>
      </c>
      <c r="R23" s="11" t="s">
        <v>126</v>
      </c>
      <c r="S23" s="11"/>
      <c r="T23" s="9"/>
      <c r="U23" s="9" t="str">
        <f t="shared" ca="1" si="4"/>
        <v>N/A</v>
      </c>
      <c r="V23" s="10"/>
      <c r="W23" s="11"/>
      <c r="X23" s="9"/>
      <c r="Y23" s="9" t="s">
        <v>135</v>
      </c>
      <c r="Z23" s="9" t="s">
        <v>108</v>
      </c>
      <c r="AA23" s="10"/>
      <c r="AB23" s="10"/>
      <c r="AC23" s="11"/>
    </row>
    <row r="24" spans="2:29" ht="15" customHeight="1">
      <c r="B24" s="9" t="str">
        <f t="shared" si="0"/>
        <v>FDE-017</v>
      </c>
      <c r="C24" s="11" t="s">
        <v>142</v>
      </c>
      <c r="D24" s="9" t="s">
        <v>64</v>
      </c>
      <c r="E24" s="9" t="s">
        <v>103</v>
      </c>
      <c r="F24" s="10"/>
      <c r="G24" s="11" t="s">
        <v>110</v>
      </c>
      <c r="H24" s="36" t="str">
        <f t="shared" ca="1" si="1"/>
        <v>N/A</v>
      </c>
      <c r="I24" s="10"/>
      <c r="J24" s="9" t="s">
        <v>105</v>
      </c>
      <c r="K24" s="36" t="str">
        <f t="shared" ca="1" si="2"/>
        <v>N/A</v>
      </c>
      <c r="L24" s="10">
        <v>46136</v>
      </c>
      <c r="M24" s="11" t="s">
        <v>123</v>
      </c>
      <c r="N24" s="9" t="s">
        <v>105</v>
      </c>
      <c r="O24" s="9">
        <f t="shared" ca="1" si="3"/>
        <v>10</v>
      </c>
      <c r="P24" s="10">
        <v>46146</v>
      </c>
      <c r="Q24" s="11" t="s">
        <v>143</v>
      </c>
      <c r="R24" s="11" t="s">
        <v>144</v>
      </c>
      <c r="S24" s="11"/>
      <c r="T24" s="9"/>
      <c r="U24" s="9">
        <f t="shared" ca="1" si="4"/>
        <v>0</v>
      </c>
      <c r="V24" s="10"/>
      <c r="W24" s="11"/>
      <c r="X24" s="9"/>
      <c r="Y24" s="9" t="s">
        <v>135</v>
      </c>
      <c r="Z24" s="9" t="s">
        <v>108</v>
      </c>
      <c r="AA24" s="10"/>
      <c r="AB24" s="10"/>
      <c r="AC24" s="11"/>
    </row>
    <row r="25" spans="2:29" ht="15" customHeight="1">
      <c r="B25" s="9" t="str">
        <f t="shared" si="0"/>
        <v>FDE-018</v>
      </c>
      <c r="C25" s="11" t="s">
        <v>145</v>
      </c>
      <c r="D25" s="9" t="s">
        <v>63</v>
      </c>
      <c r="E25" s="9" t="s">
        <v>103</v>
      </c>
      <c r="F25" s="10"/>
      <c r="G25" s="11" t="s">
        <v>104</v>
      </c>
      <c r="H25" s="36" t="str">
        <f t="shared" ca="1" si="1"/>
        <v>N/A</v>
      </c>
      <c r="I25" s="10"/>
      <c r="J25" s="9" t="s">
        <v>105</v>
      </c>
      <c r="K25" s="36" t="str">
        <f t="shared" ca="1" si="2"/>
        <v>N/A</v>
      </c>
      <c r="L25" s="10">
        <v>46136</v>
      </c>
      <c r="M25" s="11" t="s">
        <v>146</v>
      </c>
      <c r="N25" s="9"/>
      <c r="O25" s="9">
        <f t="shared" ca="1" si="3"/>
        <v>10</v>
      </c>
      <c r="P25" s="10"/>
      <c r="Q25" s="11"/>
      <c r="R25" s="11"/>
      <c r="S25" s="11"/>
      <c r="T25" s="9"/>
      <c r="U25" s="9" t="str">
        <f t="shared" ca="1" si="4"/>
        <v>N/A</v>
      </c>
      <c r="V25" s="10"/>
      <c r="W25" s="11"/>
      <c r="X25" s="9"/>
      <c r="Y25" s="9" t="s">
        <v>130</v>
      </c>
      <c r="Z25" s="9" t="s">
        <v>108</v>
      </c>
      <c r="AA25" s="10"/>
      <c r="AB25" s="10"/>
      <c r="AC25" s="11"/>
    </row>
    <row r="26" spans="2:29" ht="15" customHeight="1">
      <c r="B26" s="9" t="str">
        <f t="shared" si="0"/>
        <v>FDE-019</v>
      </c>
      <c r="C26" s="11" t="s">
        <v>147</v>
      </c>
      <c r="D26" s="9" t="s">
        <v>65</v>
      </c>
      <c r="E26" s="9" t="s">
        <v>103</v>
      </c>
      <c r="F26" s="10"/>
      <c r="G26" s="11" t="s">
        <v>104</v>
      </c>
      <c r="H26" s="36" t="str">
        <f t="shared" ca="1" si="1"/>
        <v>N/A</v>
      </c>
      <c r="I26" s="10"/>
      <c r="J26" s="9" t="s">
        <v>105</v>
      </c>
      <c r="K26" s="36" t="str">
        <f t="shared" ca="1" si="2"/>
        <v>N/A</v>
      </c>
      <c r="L26" s="10">
        <v>46136</v>
      </c>
      <c r="M26" s="11" t="s">
        <v>148</v>
      </c>
      <c r="N26" s="9" t="s">
        <v>149</v>
      </c>
      <c r="O26" s="9" t="str">
        <f t="shared" ca="1" si="3"/>
        <v>N/A</v>
      </c>
      <c r="P26" s="10"/>
      <c r="Q26" s="11"/>
      <c r="R26" s="11"/>
      <c r="S26" s="11"/>
      <c r="T26" s="9"/>
      <c r="U26" s="9" t="str">
        <f t="shared" ca="1" si="4"/>
        <v>N/A</v>
      </c>
      <c r="V26" s="10"/>
      <c r="W26" s="11"/>
      <c r="X26" s="9"/>
      <c r="Y26" s="9" t="s">
        <v>135</v>
      </c>
      <c r="Z26" s="9" t="s">
        <v>108</v>
      </c>
      <c r="AA26" s="10"/>
      <c r="AB26" s="10"/>
      <c r="AC26" s="11"/>
    </row>
    <row r="27" spans="2:29" ht="15" customHeight="1">
      <c r="B27" s="9" t="str">
        <f t="shared" si="0"/>
        <v>FDE-020</v>
      </c>
      <c r="C27" s="11" t="s">
        <v>150</v>
      </c>
      <c r="D27" s="9" t="s">
        <v>65</v>
      </c>
      <c r="E27" s="9" t="s">
        <v>151</v>
      </c>
      <c r="F27" s="10"/>
      <c r="G27" s="11" t="s">
        <v>104</v>
      </c>
      <c r="H27" s="36" t="str">
        <f t="shared" ca="1" si="1"/>
        <v>N/A</v>
      </c>
      <c r="I27" s="10"/>
      <c r="J27" s="9" t="s">
        <v>105</v>
      </c>
      <c r="K27" s="36" t="str">
        <f t="shared" ca="1" si="2"/>
        <v>N/A</v>
      </c>
      <c r="L27" s="10">
        <v>46132</v>
      </c>
      <c r="M27" s="11" t="s">
        <v>152</v>
      </c>
      <c r="N27" s="9" t="s">
        <v>105</v>
      </c>
      <c r="O27" s="9">
        <f t="shared" ca="1" si="3"/>
        <v>14</v>
      </c>
      <c r="P27" s="10"/>
      <c r="Q27" s="11"/>
      <c r="R27" s="11"/>
      <c r="S27" s="11"/>
      <c r="T27" s="9"/>
      <c r="U27" s="9" t="str">
        <f t="shared" ca="1" si="4"/>
        <v>N/A</v>
      </c>
      <c r="V27" s="10"/>
      <c r="W27" s="11"/>
      <c r="X27" s="9"/>
      <c r="Y27" s="9" t="s">
        <v>135</v>
      </c>
      <c r="Z27" s="9" t="s">
        <v>108</v>
      </c>
      <c r="AA27" s="10"/>
      <c r="AB27" s="10"/>
      <c r="AC27" s="11"/>
    </row>
    <row r="28" spans="2:29" ht="15" customHeight="1">
      <c r="B28" s="9" t="str">
        <f t="shared" si="0"/>
        <v>FDE-021</v>
      </c>
      <c r="C28" s="11" t="s">
        <v>153</v>
      </c>
      <c r="D28" s="9" t="s">
        <v>65</v>
      </c>
      <c r="E28" s="9" t="s">
        <v>154</v>
      </c>
      <c r="F28" s="10"/>
      <c r="G28" s="11" t="s">
        <v>104</v>
      </c>
      <c r="H28" s="36" t="str">
        <f t="shared" ca="1" si="1"/>
        <v>N/A</v>
      </c>
      <c r="I28" s="10"/>
      <c r="J28" s="9" t="s">
        <v>105</v>
      </c>
      <c r="K28" s="36" t="str">
        <f t="shared" ca="1" si="2"/>
        <v>N/A</v>
      </c>
      <c r="L28" s="10">
        <v>46129</v>
      </c>
      <c r="M28" s="11" t="s">
        <v>106</v>
      </c>
      <c r="N28" s="9" t="s">
        <v>105</v>
      </c>
      <c r="O28" s="9">
        <f t="shared" ca="1" si="3"/>
        <v>14</v>
      </c>
      <c r="P28" s="10">
        <v>46143</v>
      </c>
      <c r="Q28" s="11" t="s">
        <v>155</v>
      </c>
      <c r="R28" s="11" t="s">
        <v>111</v>
      </c>
      <c r="S28" s="11"/>
      <c r="T28" s="9"/>
      <c r="U28" s="9">
        <f t="shared" ca="1" si="4"/>
        <v>3</v>
      </c>
      <c r="V28" s="10"/>
      <c r="W28" s="11"/>
      <c r="X28" s="9"/>
      <c r="Y28" s="9" t="s">
        <v>135</v>
      </c>
      <c r="Z28" s="9" t="s">
        <v>108</v>
      </c>
      <c r="AA28" s="10"/>
      <c r="AB28" s="10"/>
      <c r="AC28" s="11"/>
    </row>
    <row r="29" spans="2:29" ht="15" customHeight="1">
      <c r="B29" s="9" t="str">
        <f t="shared" si="0"/>
        <v>FDE-022</v>
      </c>
      <c r="C29" s="11" t="s">
        <v>156</v>
      </c>
      <c r="D29" s="9" t="s">
        <v>71</v>
      </c>
      <c r="E29" s="9" t="s">
        <v>151</v>
      </c>
      <c r="F29" s="10"/>
      <c r="G29" s="11" t="s">
        <v>119</v>
      </c>
      <c r="H29" s="36" t="str">
        <f t="shared" ca="1" si="1"/>
        <v>N/A</v>
      </c>
      <c r="I29" s="10"/>
      <c r="J29" s="9" t="s">
        <v>105</v>
      </c>
      <c r="K29" s="36" t="str">
        <f t="shared" ca="1" si="2"/>
        <v>N/A</v>
      </c>
      <c r="L29" s="10">
        <v>46129</v>
      </c>
      <c r="M29" s="11" t="s">
        <v>140</v>
      </c>
      <c r="N29" s="9" t="s">
        <v>105</v>
      </c>
      <c r="O29" s="9">
        <f t="shared" ca="1" si="3"/>
        <v>13</v>
      </c>
      <c r="P29" s="10">
        <v>46142</v>
      </c>
      <c r="Q29" s="11" t="s">
        <v>157</v>
      </c>
      <c r="R29" s="11" t="s">
        <v>158</v>
      </c>
      <c r="S29" s="11"/>
      <c r="T29" s="9" t="s">
        <v>105</v>
      </c>
      <c r="U29" s="9">
        <f t="shared" ca="1" si="4"/>
        <v>4</v>
      </c>
      <c r="V29" s="10"/>
      <c r="W29" s="11" t="s">
        <v>148</v>
      </c>
      <c r="X29" s="9"/>
      <c r="Y29" s="9" t="s">
        <v>135</v>
      </c>
      <c r="Z29" s="9" t="s">
        <v>108</v>
      </c>
      <c r="AA29" s="10"/>
      <c r="AB29" s="10"/>
      <c r="AC29" s="11"/>
    </row>
    <row r="30" spans="2:29" ht="15" customHeight="1">
      <c r="B30" s="9" t="str">
        <f t="shared" si="0"/>
        <v>FDE-023</v>
      </c>
      <c r="C30" s="11" t="s">
        <v>159</v>
      </c>
      <c r="D30" s="9" t="s">
        <v>71</v>
      </c>
      <c r="E30" s="9" t="s">
        <v>129</v>
      </c>
      <c r="F30" s="10"/>
      <c r="G30" s="11" t="s">
        <v>119</v>
      </c>
      <c r="H30" s="36" t="str">
        <f t="shared" ca="1" si="1"/>
        <v>N/A</v>
      </c>
      <c r="I30" s="10"/>
      <c r="J30" s="9" t="s">
        <v>105</v>
      </c>
      <c r="K30" s="36" t="str">
        <f t="shared" ca="1" si="2"/>
        <v>N/A</v>
      </c>
      <c r="L30" s="10">
        <v>46129</v>
      </c>
      <c r="M30" s="11" t="s">
        <v>140</v>
      </c>
      <c r="N30" s="9" t="s">
        <v>105</v>
      </c>
      <c r="O30" s="9">
        <f t="shared" ca="1" si="3"/>
        <v>17</v>
      </c>
      <c r="P30" s="10"/>
      <c r="Q30" s="11"/>
      <c r="R30" s="11"/>
      <c r="S30" s="11"/>
      <c r="T30" s="9"/>
      <c r="U30" s="9" t="str">
        <f t="shared" ca="1" si="4"/>
        <v>N/A</v>
      </c>
      <c r="V30" s="10"/>
      <c r="W30" s="11"/>
      <c r="X30" s="9"/>
      <c r="Y30" s="9" t="s">
        <v>160</v>
      </c>
      <c r="Z30" s="9" t="s">
        <v>160</v>
      </c>
      <c r="AA30" s="10"/>
      <c r="AB30" s="10"/>
      <c r="AC30" s="11"/>
    </row>
    <row r="31" spans="2:29" ht="15" customHeight="1">
      <c r="B31" s="9" t="str">
        <f t="shared" si="0"/>
        <v>FDE-024</v>
      </c>
      <c r="C31" s="11" t="s">
        <v>161</v>
      </c>
      <c r="D31" s="9" t="s">
        <v>65</v>
      </c>
      <c r="E31" s="9" t="s">
        <v>122</v>
      </c>
      <c r="F31" s="10"/>
      <c r="G31" s="11" t="s">
        <v>104</v>
      </c>
      <c r="H31" s="36" t="str">
        <f t="shared" ca="1" si="1"/>
        <v>N/A</v>
      </c>
      <c r="I31" s="10"/>
      <c r="J31" s="9" t="s">
        <v>105</v>
      </c>
      <c r="K31" s="36" t="str">
        <f t="shared" ca="1" si="2"/>
        <v>N/A</v>
      </c>
      <c r="L31" s="10">
        <v>46119</v>
      </c>
      <c r="M31" s="11" t="s">
        <v>158</v>
      </c>
      <c r="N31" s="9" t="s">
        <v>105</v>
      </c>
      <c r="O31" s="9">
        <f t="shared" ca="1" si="3"/>
        <v>15</v>
      </c>
      <c r="P31" s="10">
        <v>46134</v>
      </c>
      <c r="Q31" s="11" t="s">
        <v>148</v>
      </c>
      <c r="R31" s="11" t="s">
        <v>113</v>
      </c>
      <c r="S31" s="11"/>
      <c r="T31" s="9"/>
      <c r="U31" s="9">
        <f t="shared" ca="1" si="4"/>
        <v>14</v>
      </c>
      <c r="V31" s="10">
        <v>46148</v>
      </c>
      <c r="W31" s="11" t="s">
        <v>162</v>
      </c>
      <c r="X31" s="9"/>
      <c r="Y31" s="9" t="s">
        <v>163</v>
      </c>
      <c r="Z31" s="9" t="s">
        <v>108</v>
      </c>
      <c r="AA31" s="10"/>
      <c r="AB31" s="10"/>
      <c r="AC31" s="11"/>
    </row>
    <row r="32" spans="2:29" ht="15" customHeight="1">
      <c r="B32" s="9" t="str">
        <f t="shared" si="0"/>
        <v>FDE-025</v>
      </c>
      <c r="C32" s="11" t="s">
        <v>164</v>
      </c>
      <c r="D32" s="9" t="s">
        <v>65</v>
      </c>
      <c r="E32" s="9" t="s">
        <v>165</v>
      </c>
      <c r="F32" s="10"/>
      <c r="G32" s="11" t="s">
        <v>104</v>
      </c>
      <c r="H32" s="36" t="str">
        <f t="shared" ca="1" si="1"/>
        <v>N/A</v>
      </c>
      <c r="I32" s="10"/>
      <c r="J32" s="9" t="s">
        <v>105</v>
      </c>
      <c r="K32" s="36" t="str">
        <f t="shared" ca="1" si="2"/>
        <v>N/A</v>
      </c>
      <c r="L32" s="10">
        <v>46105</v>
      </c>
      <c r="M32" s="11" t="s">
        <v>166</v>
      </c>
      <c r="N32" s="9" t="s">
        <v>105</v>
      </c>
      <c r="O32" s="9">
        <f t="shared" ca="1" si="3"/>
        <v>3</v>
      </c>
      <c r="P32" s="10">
        <v>46108</v>
      </c>
      <c r="Q32" s="11" t="s">
        <v>167</v>
      </c>
      <c r="R32" s="11"/>
      <c r="S32" s="11"/>
      <c r="T32" s="9" t="s">
        <v>105</v>
      </c>
      <c r="U32" s="9">
        <f t="shared" ca="1" si="4"/>
        <v>8</v>
      </c>
      <c r="V32" s="10">
        <v>46116</v>
      </c>
      <c r="W32" s="11" t="s">
        <v>148</v>
      </c>
      <c r="X32" s="9" t="s">
        <v>105</v>
      </c>
      <c r="Y32" s="9" t="s">
        <v>31</v>
      </c>
      <c r="Z32" s="9" t="s">
        <v>168</v>
      </c>
      <c r="AA32" s="10">
        <v>46133</v>
      </c>
      <c r="AB32" s="10">
        <v>45823</v>
      </c>
      <c r="AC32" s="11"/>
    </row>
    <row r="33" spans="2:29" ht="15" customHeight="1">
      <c r="B33" s="9" t="str">
        <f t="shared" si="0"/>
        <v>FDE-026</v>
      </c>
      <c r="C33" s="11" t="s">
        <v>169</v>
      </c>
      <c r="D33" s="9" t="s">
        <v>71</v>
      </c>
      <c r="E33" s="9" t="s">
        <v>122</v>
      </c>
      <c r="F33" s="10"/>
      <c r="G33" s="11" t="s">
        <v>119</v>
      </c>
      <c r="H33" s="36" t="str">
        <f t="shared" ca="1" si="1"/>
        <v>N/A</v>
      </c>
      <c r="I33" s="10"/>
      <c r="J33" s="9" t="s">
        <v>105</v>
      </c>
      <c r="K33" s="36" t="str">
        <f t="shared" ca="1" si="2"/>
        <v>N/A</v>
      </c>
      <c r="L33" s="10"/>
      <c r="M33" s="11"/>
      <c r="N33" s="9"/>
      <c r="O33" s="9" t="str">
        <f t="shared" ca="1" si="3"/>
        <v>N/A</v>
      </c>
      <c r="P33" s="10"/>
      <c r="Q33" s="11"/>
      <c r="R33" s="11"/>
      <c r="S33" s="11"/>
      <c r="T33" s="9"/>
      <c r="U33" s="9" t="str">
        <f t="shared" ca="1" si="4"/>
        <v>N/A</v>
      </c>
      <c r="V33" s="10"/>
      <c r="W33" s="11"/>
      <c r="X33" s="9"/>
      <c r="Y33" s="9" t="s">
        <v>170</v>
      </c>
      <c r="Z33" s="9" t="s">
        <v>108</v>
      </c>
      <c r="AA33" s="10"/>
      <c r="AB33" s="10"/>
      <c r="AC33" s="11"/>
    </row>
    <row r="34" spans="2:29" ht="15" customHeight="1">
      <c r="B34" s="9" t="str">
        <f t="shared" si="0"/>
        <v>FDE-027</v>
      </c>
      <c r="C34" s="11" t="s">
        <v>171</v>
      </c>
      <c r="D34" s="9" t="s">
        <v>71</v>
      </c>
      <c r="E34" s="9" t="s">
        <v>172</v>
      </c>
      <c r="F34" s="10"/>
      <c r="G34" s="11" t="s">
        <v>119</v>
      </c>
      <c r="H34" s="36" t="str">
        <f t="shared" ca="1" si="1"/>
        <v>N/A</v>
      </c>
      <c r="I34" s="10"/>
      <c r="J34" s="9" t="s">
        <v>105</v>
      </c>
      <c r="K34" s="36" t="str">
        <f t="shared" ca="1" si="2"/>
        <v>N/A</v>
      </c>
      <c r="L34" s="10"/>
      <c r="M34" s="11"/>
      <c r="N34" s="9"/>
      <c r="O34" s="9" t="str">
        <f t="shared" ca="1" si="3"/>
        <v>N/A</v>
      </c>
      <c r="P34" s="10"/>
      <c r="Q34" s="11"/>
      <c r="R34" s="11"/>
      <c r="S34" s="11"/>
      <c r="T34" s="9"/>
      <c r="U34" s="9" t="str">
        <f t="shared" ca="1" si="4"/>
        <v>N/A</v>
      </c>
      <c r="V34" s="10"/>
      <c r="W34" s="11"/>
      <c r="X34" s="9"/>
      <c r="Y34" s="9" t="s">
        <v>173</v>
      </c>
      <c r="Z34" s="9" t="s">
        <v>108</v>
      </c>
      <c r="AA34" s="10"/>
      <c r="AB34" s="10"/>
      <c r="AC34" s="11"/>
    </row>
    <row r="35" spans="2:29" ht="15" customHeight="1">
      <c r="B35" s="9" t="str">
        <f t="shared" si="0"/>
        <v>FDE-028</v>
      </c>
      <c r="C35" s="11" t="s">
        <v>174</v>
      </c>
      <c r="D35" s="9" t="s">
        <v>71</v>
      </c>
      <c r="E35" s="9" t="s">
        <v>103</v>
      </c>
      <c r="F35" s="10"/>
      <c r="G35" s="11" t="s">
        <v>119</v>
      </c>
      <c r="H35" s="36" t="str">
        <f t="shared" ca="1" si="1"/>
        <v>N/A</v>
      </c>
      <c r="I35" s="10"/>
      <c r="J35" s="9" t="s">
        <v>105</v>
      </c>
      <c r="K35" s="36" t="str">
        <f t="shared" ca="1" si="2"/>
        <v>N/A</v>
      </c>
      <c r="L35" s="10"/>
      <c r="M35" s="11"/>
      <c r="N35" s="9"/>
      <c r="O35" s="9" t="str">
        <f t="shared" ca="1" si="3"/>
        <v>N/A</v>
      </c>
      <c r="P35" s="10"/>
      <c r="Q35" s="11"/>
      <c r="R35" s="11"/>
      <c r="S35" s="11"/>
      <c r="T35" s="9"/>
      <c r="U35" s="9" t="str">
        <f t="shared" ca="1" si="4"/>
        <v>N/A</v>
      </c>
      <c r="V35" s="10"/>
      <c r="W35" s="11"/>
      <c r="X35" s="9"/>
      <c r="Y35" s="9" t="s">
        <v>175</v>
      </c>
      <c r="Z35" s="9" t="s">
        <v>108</v>
      </c>
      <c r="AA35" s="10"/>
      <c r="AB35" s="10"/>
      <c r="AC35" s="11"/>
    </row>
    <row r="36" spans="2:29" ht="15" customHeight="1">
      <c r="B36" s="9" t="str">
        <f t="shared" si="0"/>
        <v>FDE-029</v>
      </c>
      <c r="C36" s="11" t="s">
        <v>176</v>
      </c>
      <c r="D36" s="9" t="s">
        <v>65</v>
      </c>
      <c r="E36" s="9" t="s">
        <v>177</v>
      </c>
      <c r="F36" s="10"/>
      <c r="G36" s="11" t="s">
        <v>104</v>
      </c>
      <c r="H36" s="36" t="str">
        <f t="shared" ca="1" si="1"/>
        <v>N/A</v>
      </c>
      <c r="I36" s="10"/>
      <c r="J36" s="9" t="s">
        <v>105</v>
      </c>
      <c r="K36" s="36" t="str">
        <f t="shared" ca="1" si="2"/>
        <v>N/A</v>
      </c>
      <c r="L36" s="10"/>
      <c r="M36" s="11"/>
      <c r="N36" s="9"/>
      <c r="O36" s="9" t="str">
        <f t="shared" ca="1" si="3"/>
        <v>N/A</v>
      </c>
      <c r="P36" s="10"/>
      <c r="Q36" s="11"/>
      <c r="R36" s="11"/>
      <c r="S36" s="11"/>
      <c r="T36" s="9"/>
      <c r="U36" s="9" t="str">
        <f t="shared" ca="1" si="4"/>
        <v>N/A</v>
      </c>
      <c r="V36" s="10"/>
      <c r="W36" s="11"/>
      <c r="X36" s="9"/>
      <c r="Y36" s="9" t="s">
        <v>170</v>
      </c>
      <c r="Z36" s="9" t="s">
        <v>108</v>
      </c>
      <c r="AA36" s="10"/>
      <c r="AB36" s="10"/>
      <c r="AC36" s="11"/>
    </row>
    <row r="37" spans="2:29" ht="15" customHeight="1">
      <c r="B37" s="9" t="str">
        <f t="shared" si="0"/>
        <v>FDE-030</v>
      </c>
      <c r="C37" s="11" t="s">
        <v>178</v>
      </c>
      <c r="D37" s="9" t="s">
        <v>63</v>
      </c>
      <c r="E37" s="9" t="s">
        <v>129</v>
      </c>
      <c r="F37" s="10"/>
      <c r="G37" s="11" t="s">
        <v>104</v>
      </c>
      <c r="H37" s="36" t="str">
        <f t="shared" ca="1" si="1"/>
        <v>N/A</v>
      </c>
      <c r="I37" s="10"/>
      <c r="J37" s="9" t="s">
        <v>105</v>
      </c>
      <c r="K37" s="36" t="str">
        <f t="shared" ca="1" si="2"/>
        <v>N/A</v>
      </c>
      <c r="L37" s="10"/>
      <c r="M37" s="11"/>
      <c r="N37" s="9"/>
      <c r="O37" s="9" t="str">
        <f t="shared" ca="1" si="3"/>
        <v>N/A</v>
      </c>
      <c r="P37" s="10"/>
      <c r="Q37" s="11"/>
      <c r="R37" s="11"/>
      <c r="S37" s="11"/>
      <c r="T37" s="9"/>
      <c r="U37" s="9" t="str">
        <f t="shared" ca="1" si="4"/>
        <v>N/A</v>
      </c>
      <c r="V37" s="10"/>
      <c r="W37" s="11"/>
      <c r="X37" s="9"/>
      <c r="Y37" s="9" t="s">
        <v>170</v>
      </c>
      <c r="Z37" s="9" t="s">
        <v>108</v>
      </c>
      <c r="AA37" s="10"/>
      <c r="AB37" s="10"/>
      <c r="AC37" s="11"/>
    </row>
    <row r="38" spans="2:29" ht="15" customHeight="1">
      <c r="B38" s="9" t="str">
        <f t="shared" si="0"/>
        <v>FDE-031</v>
      </c>
      <c r="C38" s="11" t="s">
        <v>179</v>
      </c>
      <c r="D38" s="9" t="s">
        <v>71</v>
      </c>
      <c r="E38" s="9" t="s">
        <v>103</v>
      </c>
      <c r="F38" s="10"/>
      <c r="G38" s="11" t="s">
        <v>119</v>
      </c>
      <c r="H38" s="36" t="str">
        <f t="shared" ca="1" si="1"/>
        <v>N/A</v>
      </c>
      <c r="I38" s="10"/>
      <c r="J38" s="9" t="s">
        <v>105</v>
      </c>
      <c r="K38" s="36" t="str">
        <f t="shared" ca="1" si="2"/>
        <v>N/A</v>
      </c>
      <c r="L38" s="10"/>
      <c r="M38" s="11"/>
      <c r="N38" s="9"/>
      <c r="O38" s="9" t="str">
        <f t="shared" ca="1" si="3"/>
        <v>N/A</v>
      </c>
      <c r="P38" s="10"/>
      <c r="Q38" s="11"/>
      <c r="R38" s="11"/>
      <c r="S38" s="11"/>
      <c r="T38" s="9"/>
      <c r="U38" s="9" t="str">
        <f t="shared" ca="1" si="4"/>
        <v>N/A</v>
      </c>
      <c r="V38" s="10"/>
      <c r="W38" s="11"/>
      <c r="X38" s="9"/>
      <c r="Y38" s="9" t="s">
        <v>170</v>
      </c>
      <c r="Z38" s="9" t="s">
        <v>108</v>
      </c>
      <c r="AA38" s="10"/>
      <c r="AB38" s="10"/>
      <c r="AC38" s="11"/>
    </row>
    <row r="39" spans="2:29" ht="15" customHeight="1">
      <c r="B39" s="9" t="str">
        <f t="shared" si="0"/>
        <v>FDE-032</v>
      </c>
      <c r="C39" s="11" t="s">
        <v>180</v>
      </c>
      <c r="D39" s="9" t="s">
        <v>71</v>
      </c>
      <c r="E39" s="9" t="s">
        <v>129</v>
      </c>
      <c r="F39" s="10"/>
      <c r="G39" s="11" t="s">
        <v>119</v>
      </c>
      <c r="H39" s="36" t="str">
        <f t="shared" ca="1" si="1"/>
        <v>N/A</v>
      </c>
      <c r="I39" s="10"/>
      <c r="J39" s="9" t="s">
        <v>105</v>
      </c>
      <c r="K39" s="36" t="str">
        <f t="shared" ca="1" si="2"/>
        <v>N/A</v>
      </c>
      <c r="L39" s="10"/>
      <c r="M39" s="11"/>
      <c r="N39" s="9"/>
      <c r="O39" s="9" t="str">
        <f t="shared" ca="1" si="3"/>
        <v>N/A</v>
      </c>
      <c r="P39" s="10"/>
      <c r="Q39" s="11"/>
      <c r="R39" s="11"/>
      <c r="S39" s="11"/>
      <c r="T39" s="9"/>
      <c r="U39" s="9" t="str">
        <f t="shared" ca="1" si="4"/>
        <v>N/A</v>
      </c>
      <c r="V39" s="10"/>
      <c r="W39" s="11"/>
      <c r="X39" s="9"/>
      <c r="Y39" s="9" t="s">
        <v>175</v>
      </c>
      <c r="Z39" s="9" t="s">
        <v>108</v>
      </c>
      <c r="AA39" s="10"/>
      <c r="AB39" s="10"/>
      <c r="AC39" s="11"/>
    </row>
    <row r="40" spans="2:29" ht="15" customHeight="1">
      <c r="B40" s="9" t="str">
        <f t="shared" si="0"/>
        <v>FDE-033</v>
      </c>
      <c r="C40" s="11" t="s">
        <v>181</v>
      </c>
      <c r="D40" s="9" t="s">
        <v>71</v>
      </c>
      <c r="E40" s="9" t="s">
        <v>151</v>
      </c>
      <c r="F40" s="10"/>
      <c r="G40" s="11" t="s">
        <v>119</v>
      </c>
      <c r="H40" s="36" t="str">
        <f t="shared" ca="1" si="1"/>
        <v>N/A</v>
      </c>
      <c r="I40" s="10"/>
      <c r="J40" s="9" t="s">
        <v>105</v>
      </c>
      <c r="K40" s="36" t="str">
        <f t="shared" ca="1" si="2"/>
        <v>N/A</v>
      </c>
      <c r="L40" s="10"/>
      <c r="M40" s="11"/>
      <c r="N40" s="9"/>
      <c r="O40" s="9" t="str">
        <f t="shared" ca="1" si="3"/>
        <v>N/A</v>
      </c>
      <c r="P40" s="10"/>
      <c r="Q40" s="11"/>
      <c r="R40" s="11"/>
      <c r="S40" s="11"/>
      <c r="T40" s="9"/>
      <c r="U40" s="9" t="str">
        <f t="shared" ca="1" si="4"/>
        <v>N/A</v>
      </c>
      <c r="V40" s="10"/>
      <c r="W40" s="11"/>
      <c r="X40" s="9"/>
      <c r="Y40" s="9" t="s">
        <v>107</v>
      </c>
      <c r="Z40" s="9" t="s">
        <v>108</v>
      </c>
      <c r="AA40" s="10"/>
      <c r="AB40" s="10"/>
      <c r="AC40" s="11"/>
    </row>
    <row r="41" spans="2:29" ht="15" customHeight="1">
      <c r="B41" s="9" t="str">
        <f t="shared" si="0"/>
        <v>FDE-034</v>
      </c>
      <c r="C41" s="11" t="s">
        <v>182</v>
      </c>
      <c r="D41" s="9" t="s">
        <v>64</v>
      </c>
      <c r="E41" s="9" t="s">
        <v>122</v>
      </c>
      <c r="F41" s="10"/>
      <c r="G41" s="11" t="s">
        <v>110</v>
      </c>
      <c r="H41" s="36" t="str">
        <f t="shared" ca="1" si="1"/>
        <v>N/A</v>
      </c>
      <c r="I41" s="10"/>
      <c r="J41" s="9" t="s">
        <v>105</v>
      </c>
      <c r="K41" s="36" t="str">
        <f t="shared" ca="1" si="2"/>
        <v>N/A</v>
      </c>
      <c r="L41" s="10"/>
      <c r="M41" s="11"/>
      <c r="N41" s="9"/>
      <c r="O41" s="9" t="str">
        <f t="shared" ca="1" si="3"/>
        <v>N/A</v>
      </c>
      <c r="P41" s="10"/>
      <c r="Q41" s="11"/>
      <c r="R41" s="11"/>
      <c r="S41" s="11"/>
      <c r="T41" s="9"/>
      <c r="U41" s="9" t="str">
        <f t="shared" ca="1" si="4"/>
        <v>N/A</v>
      </c>
      <c r="V41" s="10"/>
      <c r="W41" s="11"/>
      <c r="X41" s="9"/>
      <c r="Y41" s="9" t="s">
        <v>170</v>
      </c>
      <c r="Z41" s="9" t="s">
        <v>108</v>
      </c>
      <c r="AA41" s="10"/>
      <c r="AB41" s="10"/>
      <c r="AC41" s="11"/>
    </row>
    <row r="42" spans="2:29" ht="15" customHeight="1">
      <c r="B42" s="9" t="str">
        <f t="shared" si="0"/>
        <v>FDE-035</v>
      </c>
      <c r="C42" s="11" t="s">
        <v>183</v>
      </c>
      <c r="D42" s="9" t="s">
        <v>71</v>
      </c>
      <c r="E42" s="9" t="s">
        <v>103</v>
      </c>
      <c r="F42" s="10"/>
      <c r="G42" s="11" t="s">
        <v>119</v>
      </c>
      <c r="H42" s="36" t="str">
        <f t="shared" ca="1" si="1"/>
        <v>N/A</v>
      </c>
      <c r="I42" s="10"/>
      <c r="J42" s="9" t="s">
        <v>105</v>
      </c>
      <c r="K42" s="36" t="str">
        <f t="shared" ca="1" si="2"/>
        <v>N/A</v>
      </c>
      <c r="L42" s="10"/>
      <c r="M42" s="11"/>
      <c r="N42" s="9"/>
      <c r="O42" s="9" t="str">
        <f t="shared" ca="1" si="3"/>
        <v>N/A</v>
      </c>
      <c r="P42" s="10"/>
      <c r="Q42" s="11"/>
      <c r="R42" s="11"/>
      <c r="S42" s="11"/>
      <c r="T42" s="9"/>
      <c r="U42" s="9" t="str">
        <f t="shared" ca="1" si="4"/>
        <v>N/A</v>
      </c>
      <c r="V42" s="10"/>
      <c r="W42" s="11"/>
      <c r="X42" s="9"/>
      <c r="Y42" s="9" t="s">
        <v>170</v>
      </c>
      <c r="Z42" s="9" t="s">
        <v>108</v>
      </c>
      <c r="AA42" s="10"/>
      <c r="AB42" s="10"/>
      <c r="AC42" s="11"/>
    </row>
    <row r="43" spans="2:29" ht="15" customHeight="1">
      <c r="B43" s="9" t="str">
        <f t="shared" si="0"/>
        <v>FDE-036</v>
      </c>
      <c r="C43" s="11" t="s">
        <v>184</v>
      </c>
      <c r="D43" s="9" t="s">
        <v>64</v>
      </c>
      <c r="E43" s="9" t="s">
        <v>154</v>
      </c>
      <c r="F43" s="10"/>
      <c r="G43" s="11" t="s">
        <v>110</v>
      </c>
      <c r="H43" s="36" t="str">
        <f t="shared" ca="1" si="1"/>
        <v>N/A</v>
      </c>
      <c r="I43" s="10"/>
      <c r="J43" s="9" t="s">
        <v>105</v>
      </c>
      <c r="K43" s="36" t="str">
        <f t="shared" ca="1" si="2"/>
        <v>N/A</v>
      </c>
      <c r="L43" s="10"/>
      <c r="M43" s="11"/>
      <c r="N43" s="9"/>
      <c r="O43" s="9" t="str">
        <f t="shared" ca="1" si="3"/>
        <v>N/A</v>
      </c>
      <c r="P43" s="10"/>
      <c r="Q43" s="11"/>
      <c r="R43" s="11"/>
      <c r="S43" s="11"/>
      <c r="T43" s="9"/>
      <c r="U43" s="9" t="str">
        <f t="shared" ca="1" si="4"/>
        <v>N/A</v>
      </c>
      <c r="V43" s="10"/>
      <c r="W43" s="11"/>
      <c r="X43" s="9"/>
      <c r="Y43" s="9" t="s">
        <v>107</v>
      </c>
      <c r="Z43" s="9" t="s">
        <v>108</v>
      </c>
      <c r="AA43" s="10"/>
      <c r="AB43" s="10"/>
      <c r="AC43" s="11"/>
    </row>
    <row r="44" spans="2:29" ht="15" customHeight="1">
      <c r="B44" s="9" t="str">
        <f t="shared" si="0"/>
        <v>FDE-037</v>
      </c>
      <c r="C44" s="11" t="s">
        <v>185</v>
      </c>
      <c r="D44" s="9" t="s">
        <v>63</v>
      </c>
      <c r="E44" s="9" t="s">
        <v>122</v>
      </c>
      <c r="F44" s="10"/>
      <c r="G44" s="11" t="s">
        <v>119</v>
      </c>
      <c r="H44" s="36" t="str">
        <f t="shared" ca="1" si="1"/>
        <v>N/A</v>
      </c>
      <c r="I44" s="10"/>
      <c r="J44" s="9" t="s">
        <v>105</v>
      </c>
      <c r="K44" s="36" t="str">
        <f t="shared" ca="1" si="2"/>
        <v>N/A</v>
      </c>
      <c r="L44" s="10"/>
      <c r="M44" s="11"/>
      <c r="N44" s="9"/>
      <c r="O44" s="9" t="str">
        <f t="shared" ca="1" si="3"/>
        <v>N/A</v>
      </c>
      <c r="P44" s="10"/>
      <c r="Q44" s="11"/>
      <c r="R44" s="11"/>
      <c r="S44" s="11"/>
      <c r="T44" s="9"/>
      <c r="U44" s="9" t="str">
        <f t="shared" ca="1" si="4"/>
        <v>N/A</v>
      </c>
      <c r="V44" s="10"/>
      <c r="W44" s="11"/>
      <c r="X44" s="9"/>
      <c r="Y44" s="9" t="s">
        <v>170</v>
      </c>
      <c r="Z44" s="9" t="s">
        <v>108</v>
      </c>
      <c r="AA44" s="10"/>
      <c r="AB44" s="10"/>
      <c r="AC44" s="11"/>
    </row>
    <row r="45" spans="2:29" ht="15" customHeight="1">
      <c r="B45" s="9" t="str">
        <f t="shared" si="0"/>
        <v>FDE-038</v>
      </c>
      <c r="C45" s="11" t="s">
        <v>186</v>
      </c>
      <c r="D45" s="9" t="s">
        <v>63</v>
      </c>
      <c r="E45" s="9" t="s">
        <v>103</v>
      </c>
      <c r="F45" s="10"/>
      <c r="G45" s="11" t="s">
        <v>119</v>
      </c>
      <c r="H45" s="36" t="str">
        <f t="shared" ca="1" si="1"/>
        <v>N/A</v>
      </c>
      <c r="I45" s="10"/>
      <c r="J45" s="9" t="s">
        <v>105</v>
      </c>
      <c r="K45" s="36" t="str">
        <f t="shared" ca="1" si="2"/>
        <v>N/A</v>
      </c>
      <c r="L45" s="10"/>
      <c r="M45" s="11"/>
      <c r="N45" s="9"/>
      <c r="O45" s="9" t="str">
        <f t="shared" ca="1" si="3"/>
        <v>N/A</v>
      </c>
      <c r="P45" s="10"/>
      <c r="Q45" s="11"/>
      <c r="R45" s="11"/>
      <c r="S45" s="11"/>
      <c r="T45" s="9"/>
      <c r="U45" s="9" t="str">
        <f t="shared" ca="1" si="4"/>
        <v>N/A</v>
      </c>
      <c r="V45" s="10"/>
      <c r="W45" s="11"/>
      <c r="X45" s="9"/>
      <c r="Y45" s="9" t="s">
        <v>170</v>
      </c>
      <c r="Z45" s="9" t="s">
        <v>108</v>
      </c>
      <c r="AA45" s="10"/>
      <c r="AB45" s="10"/>
      <c r="AC45" s="11"/>
    </row>
    <row r="46" spans="2:29" ht="15" customHeight="1">
      <c r="B46" s="9" t="str">
        <f t="shared" si="0"/>
        <v>FDE-039</v>
      </c>
      <c r="C46" s="11" t="s">
        <v>187</v>
      </c>
      <c r="D46" s="9" t="s">
        <v>63</v>
      </c>
      <c r="E46" s="9" t="s">
        <v>103</v>
      </c>
      <c r="F46" s="10"/>
      <c r="G46" s="11" t="s">
        <v>119</v>
      </c>
      <c r="H46" s="36" t="str">
        <f t="shared" ca="1" si="1"/>
        <v>N/A</v>
      </c>
      <c r="I46" s="10"/>
      <c r="J46" s="9" t="s">
        <v>105</v>
      </c>
      <c r="K46" s="36" t="str">
        <f t="shared" ca="1" si="2"/>
        <v>N/A</v>
      </c>
      <c r="L46" s="10"/>
      <c r="M46" s="11"/>
      <c r="N46" s="9"/>
      <c r="O46" s="9" t="str">
        <f t="shared" ca="1" si="3"/>
        <v>N/A</v>
      </c>
      <c r="P46" s="10"/>
      <c r="Q46" s="11"/>
      <c r="R46" s="11"/>
      <c r="S46" s="11"/>
      <c r="T46" s="9"/>
      <c r="U46" s="9" t="str">
        <f t="shared" ca="1" si="4"/>
        <v>N/A</v>
      </c>
      <c r="V46" s="10"/>
      <c r="W46" s="11"/>
      <c r="X46" s="9"/>
      <c r="Y46" s="9" t="s">
        <v>170</v>
      </c>
      <c r="Z46" s="9" t="s">
        <v>108</v>
      </c>
      <c r="AA46" s="10"/>
      <c r="AB46" s="10"/>
      <c r="AC46" s="11"/>
    </row>
    <row r="47" spans="2:29" ht="15" customHeight="1">
      <c r="B47" s="9" t="str">
        <f t="shared" si="0"/>
        <v>FDE-040</v>
      </c>
      <c r="C47" s="11" t="s">
        <v>188</v>
      </c>
      <c r="D47" s="9" t="s">
        <v>71</v>
      </c>
      <c r="E47" s="9" t="s">
        <v>117</v>
      </c>
      <c r="F47" s="10"/>
      <c r="G47" s="11" t="s">
        <v>119</v>
      </c>
      <c r="H47" s="36" t="str">
        <f t="shared" ca="1" si="1"/>
        <v>N/A</v>
      </c>
      <c r="I47" s="10"/>
      <c r="J47" s="9" t="s">
        <v>105</v>
      </c>
      <c r="K47" s="36" t="str">
        <f t="shared" ca="1" si="2"/>
        <v>N/A</v>
      </c>
      <c r="L47" s="10"/>
      <c r="M47" s="11"/>
      <c r="N47" s="9"/>
      <c r="O47" s="9" t="str">
        <f t="shared" ca="1" si="3"/>
        <v>N/A</v>
      </c>
      <c r="P47" s="10"/>
      <c r="Q47" s="11"/>
      <c r="R47" s="11"/>
      <c r="S47" s="11"/>
      <c r="T47" s="9"/>
      <c r="U47" s="9" t="str">
        <f t="shared" ca="1" si="4"/>
        <v>N/A</v>
      </c>
      <c r="V47" s="10"/>
      <c r="W47" s="11"/>
      <c r="X47" s="9"/>
      <c r="Y47" s="9" t="s">
        <v>107</v>
      </c>
      <c r="Z47" s="9" t="s">
        <v>108</v>
      </c>
      <c r="AA47" s="10"/>
      <c r="AB47" s="10"/>
      <c r="AC47" s="11"/>
    </row>
    <row r="48" spans="2:29" ht="15" customHeight="1">
      <c r="B48" s="9" t="str">
        <f t="shared" si="0"/>
        <v>FDE-041</v>
      </c>
      <c r="C48" s="11" t="s">
        <v>188</v>
      </c>
      <c r="D48" s="9" t="s">
        <v>71</v>
      </c>
      <c r="E48" s="9" t="s">
        <v>117</v>
      </c>
      <c r="F48" s="10"/>
      <c r="G48" s="11" t="s">
        <v>119</v>
      </c>
      <c r="H48" s="36" t="str">
        <f t="shared" ca="1" si="1"/>
        <v>N/A</v>
      </c>
      <c r="I48" s="10"/>
      <c r="J48" s="9" t="s">
        <v>105</v>
      </c>
      <c r="K48" s="36" t="str">
        <f t="shared" ca="1" si="2"/>
        <v>N/A</v>
      </c>
      <c r="L48" s="10"/>
      <c r="M48" s="11"/>
      <c r="N48" s="9"/>
      <c r="O48" s="9" t="str">
        <f t="shared" ca="1" si="3"/>
        <v>N/A</v>
      </c>
      <c r="P48" s="10"/>
      <c r="Q48" s="11"/>
      <c r="R48" s="11"/>
      <c r="S48" s="11"/>
      <c r="T48" s="9"/>
      <c r="U48" s="9" t="str">
        <f t="shared" ca="1" si="4"/>
        <v>N/A</v>
      </c>
      <c r="V48" s="10"/>
      <c r="W48" s="11"/>
      <c r="X48" s="9"/>
      <c r="Y48" s="9" t="s">
        <v>173</v>
      </c>
      <c r="Z48" s="9" t="s">
        <v>108</v>
      </c>
      <c r="AA48" s="10"/>
      <c r="AB48" s="10"/>
      <c r="AC48" s="11"/>
    </row>
    <row r="49" spans="2:29" ht="15" customHeight="1">
      <c r="B49" s="9" t="str">
        <f t="shared" si="0"/>
        <v>FDE-042</v>
      </c>
      <c r="C49" s="11" t="s">
        <v>189</v>
      </c>
      <c r="D49" s="9" t="s">
        <v>70</v>
      </c>
      <c r="E49" s="9" t="s">
        <v>103</v>
      </c>
      <c r="F49" s="10"/>
      <c r="G49" s="11" t="s">
        <v>110</v>
      </c>
      <c r="H49" s="36" t="str">
        <f t="shared" ca="1" si="1"/>
        <v>N/A</v>
      </c>
      <c r="I49" s="10"/>
      <c r="J49" s="9" t="s">
        <v>105</v>
      </c>
      <c r="K49" s="36" t="str">
        <f t="shared" ca="1" si="2"/>
        <v>N/A</v>
      </c>
      <c r="L49" s="10"/>
      <c r="M49" s="11"/>
      <c r="N49" s="9"/>
      <c r="O49" s="9" t="str">
        <f t="shared" ca="1" si="3"/>
        <v>N/A</v>
      </c>
      <c r="P49" s="10"/>
      <c r="Q49" s="11"/>
      <c r="R49" s="11"/>
      <c r="S49" s="11"/>
      <c r="T49" s="9"/>
      <c r="U49" s="9" t="str">
        <f t="shared" ca="1" si="4"/>
        <v>N/A</v>
      </c>
      <c r="V49" s="10"/>
      <c r="W49" s="11"/>
      <c r="X49" s="9"/>
      <c r="Y49" s="9" t="s">
        <v>107</v>
      </c>
      <c r="Z49" s="9" t="s">
        <v>108</v>
      </c>
      <c r="AA49" s="10"/>
      <c r="AB49" s="10"/>
      <c r="AC49" s="11"/>
    </row>
    <row r="50" spans="2:29" ht="15" customHeight="1">
      <c r="B50" s="9" t="str">
        <f t="shared" si="0"/>
        <v>FDE-043</v>
      </c>
      <c r="C50" s="11" t="s">
        <v>190</v>
      </c>
      <c r="D50" s="9" t="s">
        <v>65</v>
      </c>
      <c r="E50" s="9" t="s">
        <v>172</v>
      </c>
      <c r="F50" s="10"/>
      <c r="G50" s="11" t="s">
        <v>104</v>
      </c>
      <c r="H50" s="36" t="str">
        <f t="shared" ca="1" si="1"/>
        <v>N/A</v>
      </c>
      <c r="I50" s="10"/>
      <c r="J50" s="9" t="s">
        <v>105</v>
      </c>
      <c r="K50" s="36" t="str">
        <f t="shared" ca="1" si="2"/>
        <v>N/A</v>
      </c>
      <c r="L50" s="10"/>
      <c r="M50" s="11"/>
      <c r="N50" s="9"/>
      <c r="O50" s="9" t="str">
        <f t="shared" ca="1" si="3"/>
        <v>N/A</v>
      </c>
      <c r="P50" s="10"/>
      <c r="Q50" s="11"/>
      <c r="R50" s="11"/>
      <c r="S50" s="11"/>
      <c r="T50" s="9"/>
      <c r="U50" s="9" t="str">
        <f t="shared" ca="1" si="4"/>
        <v>N/A</v>
      </c>
      <c r="V50" s="10"/>
      <c r="W50" s="11"/>
      <c r="X50" s="9"/>
      <c r="Y50" s="9" t="s">
        <v>170</v>
      </c>
      <c r="Z50" s="9" t="s">
        <v>108</v>
      </c>
      <c r="AA50" s="10"/>
      <c r="AB50" s="10"/>
      <c r="AC50" s="11"/>
    </row>
    <row r="51" spans="2:29" ht="15" customHeight="1">
      <c r="B51" s="9" t="str">
        <f t="shared" si="0"/>
        <v>FDE-044</v>
      </c>
      <c r="C51" s="11" t="s">
        <v>191</v>
      </c>
      <c r="D51" s="9" t="s">
        <v>65</v>
      </c>
      <c r="E51" s="9" t="s">
        <v>154</v>
      </c>
      <c r="F51" s="10"/>
      <c r="G51" s="11" t="s">
        <v>104</v>
      </c>
      <c r="H51" s="36" t="str">
        <f t="shared" ca="1" si="1"/>
        <v>N/A</v>
      </c>
      <c r="I51" s="10"/>
      <c r="J51" s="9" t="s">
        <v>105</v>
      </c>
      <c r="K51" s="36" t="str">
        <f t="shared" ca="1" si="2"/>
        <v>N/A</v>
      </c>
      <c r="L51" s="10"/>
      <c r="M51" s="11"/>
      <c r="N51" s="9"/>
      <c r="O51" s="9" t="str">
        <f t="shared" ca="1" si="3"/>
        <v>N/A</v>
      </c>
      <c r="P51" s="10"/>
      <c r="Q51" s="11"/>
      <c r="R51" s="11"/>
      <c r="S51" s="11"/>
      <c r="T51" s="9"/>
      <c r="U51" s="9" t="str">
        <f t="shared" ca="1" si="4"/>
        <v>N/A</v>
      </c>
      <c r="V51" s="10"/>
      <c r="W51" s="11"/>
      <c r="X51" s="9"/>
      <c r="Y51" s="9" t="s">
        <v>107</v>
      </c>
      <c r="Z51" s="9" t="s">
        <v>108</v>
      </c>
      <c r="AA51" s="10"/>
      <c r="AB51" s="10"/>
      <c r="AC51" s="11"/>
    </row>
    <row r="52" spans="2:29" ht="15" customHeight="1">
      <c r="B52" s="9" t="str">
        <f t="shared" si="0"/>
        <v>FDE-045</v>
      </c>
      <c r="C52" s="11" t="s">
        <v>192</v>
      </c>
      <c r="D52" s="9" t="s">
        <v>70</v>
      </c>
      <c r="E52" s="9" t="s">
        <v>103</v>
      </c>
      <c r="F52" s="10"/>
      <c r="G52" s="11" t="s">
        <v>110</v>
      </c>
      <c r="H52" s="36" t="str">
        <f t="shared" ca="1" si="1"/>
        <v>N/A</v>
      </c>
      <c r="I52" s="10"/>
      <c r="J52" s="9" t="s">
        <v>105</v>
      </c>
      <c r="K52" s="36" t="str">
        <f t="shared" ca="1" si="2"/>
        <v>N/A</v>
      </c>
      <c r="L52" s="10"/>
      <c r="M52" s="11"/>
      <c r="N52" s="9"/>
      <c r="O52" s="9" t="str">
        <f t="shared" ca="1" si="3"/>
        <v>N/A</v>
      </c>
      <c r="P52" s="10"/>
      <c r="Q52" s="11"/>
      <c r="R52" s="11"/>
      <c r="S52" s="11"/>
      <c r="T52" s="9"/>
      <c r="U52" s="9" t="str">
        <f t="shared" ca="1" si="4"/>
        <v>N/A</v>
      </c>
      <c r="V52" s="10"/>
      <c r="W52" s="11"/>
      <c r="X52" s="9"/>
      <c r="Y52" s="9" t="s">
        <v>107</v>
      </c>
      <c r="Z52" s="9" t="s">
        <v>108</v>
      </c>
      <c r="AA52" s="10"/>
      <c r="AB52" s="10"/>
      <c r="AC52" s="11"/>
    </row>
    <row r="53" spans="2:29" ht="15" customHeight="1">
      <c r="B53" s="9" t="str">
        <f t="shared" si="0"/>
        <v>FDE-046</v>
      </c>
      <c r="C53" s="11" t="s">
        <v>193</v>
      </c>
      <c r="D53" s="9" t="s">
        <v>63</v>
      </c>
      <c r="E53" s="9" t="s">
        <v>103</v>
      </c>
      <c r="F53" s="10"/>
      <c r="G53" s="11" t="s">
        <v>104</v>
      </c>
      <c r="H53" s="36" t="str">
        <f t="shared" ca="1" si="1"/>
        <v>N/A</v>
      </c>
      <c r="I53" s="10"/>
      <c r="J53" s="9" t="s">
        <v>105</v>
      </c>
      <c r="K53" s="36" t="str">
        <f t="shared" ca="1" si="2"/>
        <v>N/A</v>
      </c>
      <c r="L53" s="10"/>
      <c r="M53" s="11"/>
      <c r="N53" s="9"/>
      <c r="O53" s="9" t="str">
        <f t="shared" ca="1" si="3"/>
        <v>N/A</v>
      </c>
      <c r="P53" s="10"/>
      <c r="Q53" s="11"/>
      <c r="R53" s="11"/>
      <c r="S53" s="11"/>
      <c r="T53" s="9"/>
      <c r="U53" s="9" t="str">
        <f t="shared" ca="1" si="4"/>
        <v>N/A</v>
      </c>
      <c r="V53" s="10"/>
      <c r="W53" s="11"/>
      <c r="X53" s="9"/>
      <c r="Y53" s="9" t="s">
        <v>173</v>
      </c>
      <c r="Z53" s="9" t="s">
        <v>108</v>
      </c>
      <c r="AA53" s="10"/>
      <c r="AB53" s="10"/>
      <c r="AC53" s="11"/>
    </row>
    <row r="54" spans="2:29" ht="15" customHeight="1">
      <c r="B54" s="9" t="str">
        <f t="shared" si="0"/>
        <v>FDE-047</v>
      </c>
      <c r="C54" s="11" t="s">
        <v>194</v>
      </c>
      <c r="D54" s="9" t="s">
        <v>70</v>
      </c>
      <c r="E54" s="9" t="s">
        <v>103</v>
      </c>
      <c r="F54" s="10"/>
      <c r="G54" s="11" t="s">
        <v>110</v>
      </c>
      <c r="H54" s="36" t="str">
        <f t="shared" ca="1" si="1"/>
        <v>N/A</v>
      </c>
      <c r="I54" s="10"/>
      <c r="J54" s="9" t="s">
        <v>105</v>
      </c>
      <c r="K54" s="36" t="str">
        <f t="shared" ca="1" si="2"/>
        <v>N/A</v>
      </c>
      <c r="L54" s="10"/>
      <c r="M54" s="11"/>
      <c r="N54" s="9"/>
      <c r="O54" s="9" t="str">
        <f t="shared" ca="1" si="3"/>
        <v>N/A</v>
      </c>
      <c r="P54" s="10"/>
      <c r="Q54" s="11"/>
      <c r="R54" s="11"/>
      <c r="S54" s="11"/>
      <c r="T54" s="9"/>
      <c r="U54" s="9" t="str">
        <f t="shared" ca="1" si="4"/>
        <v>N/A</v>
      </c>
      <c r="V54" s="10"/>
      <c r="W54" s="11"/>
      <c r="X54" s="9"/>
      <c r="Y54" s="9" t="s">
        <v>170</v>
      </c>
      <c r="Z54" s="9" t="s">
        <v>108</v>
      </c>
      <c r="AA54" s="10"/>
      <c r="AB54" s="10"/>
      <c r="AC54" s="11"/>
    </row>
    <row r="55" spans="2:29" ht="15" customHeight="1">
      <c r="B55" s="9" t="str">
        <f t="shared" si="0"/>
        <v>FDE-048</v>
      </c>
      <c r="C55" s="11" t="s">
        <v>195</v>
      </c>
      <c r="D55" s="9" t="s">
        <v>63</v>
      </c>
      <c r="E55" s="9" t="s">
        <v>103</v>
      </c>
      <c r="F55" s="10"/>
      <c r="G55" s="11" t="s">
        <v>119</v>
      </c>
      <c r="H55" s="36" t="str">
        <f t="shared" ca="1" si="1"/>
        <v>N/A</v>
      </c>
      <c r="I55" s="10"/>
      <c r="J55" s="9" t="s">
        <v>105</v>
      </c>
      <c r="K55" s="36" t="str">
        <f t="shared" ca="1" si="2"/>
        <v>N/A</v>
      </c>
      <c r="L55" s="10"/>
      <c r="M55" s="11"/>
      <c r="N55" s="9"/>
      <c r="O55" s="9" t="str">
        <f t="shared" ca="1" si="3"/>
        <v>N/A</v>
      </c>
      <c r="P55" s="10"/>
      <c r="Q55" s="11"/>
      <c r="R55" s="11"/>
      <c r="S55" s="11"/>
      <c r="T55" s="9"/>
      <c r="U55" s="9" t="str">
        <f t="shared" ca="1" si="4"/>
        <v>N/A</v>
      </c>
      <c r="V55" s="10"/>
      <c r="W55" s="11"/>
      <c r="X55" s="9"/>
      <c r="Y55" s="9" t="s">
        <v>170</v>
      </c>
      <c r="Z55" s="9" t="s">
        <v>108</v>
      </c>
      <c r="AA55" s="10"/>
      <c r="AB55" s="10"/>
      <c r="AC55" s="11"/>
    </row>
    <row r="56" spans="2:29" ht="15" customHeight="1">
      <c r="B56" s="9" t="str">
        <f t="shared" si="0"/>
        <v>FDE-049</v>
      </c>
      <c r="C56" s="11" t="s">
        <v>196</v>
      </c>
      <c r="D56" s="9" t="s">
        <v>70</v>
      </c>
      <c r="E56" s="9" t="s">
        <v>122</v>
      </c>
      <c r="F56" s="10"/>
      <c r="G56" s="11" t="s">
        <v>110</v>
      </c>
      <c r="H56" s="36" t="str">
        <f t="shared" ca="1" si="1"/>
        <v>N/A</v>
      </c>
      <c r="I56" s="10"/>
      <c r="J56" s="9" t="s">
        <v>105</v>
      </c>
      <c r="K56" s="36" t="str">
        <f t="shared" ca="1" si="2"/>
        <v>N/A</v>
      </c>
      <c r="L56" s="10"/>
      <c r="M56" s="11"/>
      <c r="N56" s="9"/>
      <c r="O56" s="9" t="str">
        <f t="shared" ca="1" si="3"/>
        <v>N/A</v>
      </c>
      <c r="P56" s="10"/>
      <c r="Q56" s="11"/>
      <c r="R56" s="11"/>
      <c r="S56" s="11"/>
      <c r="T56" s="9"/>
      <c r="U56" s="9" t="str">
        <f t="shared" ca="1" si="4"/>
        <v>N/A</v>
      </c>
      <c r="V56" s="10"/>
      <c r="W56" s="11"/>
      <c r="X56" s="9"/>
      <c r="Y56" s="9" t="s">
        <v>175</v>
      </c>
      <c r="Z56" s="9" t="s">
        <v>108</v>
      </c>
      <c r="AA56" s="10"/>
      <c r="AB56" s="10"/>
      <c r="AC56" s="11"/>
    </row>
    <row r="57" spans="2:29" ht="15" customHeight="1">
      <c r="B57" s="9" t="str">
        <f t="shared" si="0"/>
        <v>FDE-050</v>
      </c>
      <c r="C57" s="11" t="s">
        <v>197</v>
      </c>
      <c r="D57" s="9" t="s">
        <v>63</v>
      </c>
      <c r="E57" s="9" t="s">
        <v>129</v>
      </c>
      <c r="F57" s="10"/>
      <c r="G57" s="11" t="s">
        <v>119</v>
      </c>
      <c r="H57" s="36" t="str">
        <f t="shared" ca="1" si="1"/>
        <v>N/A</v>
      </c>
      <c r="I57" s="10"/>
      <c r="J57" s="9" t="s">
        <v>105</v>
      </c>
      <c r="K57" s="36" t="str">
        <f t="shared" ca="1" si="2"/>
        <v>N/A</v>
      </c>
      <c r="L57" s="10"/>
      <c r="M57" s="11"/>
      <c r="N57" s="9"/>
      <c r="O57" s="9" t="str">
        <f t="shared" ca="1" si="3"/>
        <v>N/A</v>
      </c>
      <c r="P57" s="10"/>
      <c r="Q57" s="11"/>
      <c r="R57" s="11"/>
      <c r="S57" s="11"/>
      <c r="T57" s="9"/>
      <c r="U57" s="9" t="str">
        <f t="shared" ca="1" si="4"/>
        <v>N/A</v>
      </c>
      <c r="V57" s="10"/>
      <c r="W57" s="11"/>
      <c r="X57" s="9"/>
      <c r="Y57" s="9" t="s">
        <v>170</v>
      </c>
      <c r="Z57" s="9" t="s">
        <v>108</v>
      </c>
      <c r="AA57" s="10"/>
      <c r="AB57" s="10"/>
      <c r="AC57" s="11"/>
    </row>
    <row r="58" spans="2:29" ht="15" customHeight="1">
      <c r="B58" s="9" t="str">
        <f t="shared" si="0"/>
        <v>FDE-051</v>
      </c>
      <c r="C58" s="11" t="s">
        <v>198</v>
      </c>
      <c r="D58" s="9" t="s">
        <v>65</v>
      </c>
      <c r="E58" s="9" t="s">
        <v>103</v>
      </c>
      <c r="F58" s="10"/>
      <c r="G58" s="11" t="s">
        <v>104</v>
      </c>
      <c r="H58" s="36" t="str">
        <f t="shared" ca="1" si="1"/>
        <v>N/A</v>
      </c>
      <c r="I58" s="10"/>
      <c r="J58" s="9" t="s">
        <v>105</v>
      </c>
      <c r="K58" s="36" t="str">
        <f t="shared" ca="1" si="2"/>
        <v>N/A</v>
      </c>
      <c r="L58" s="10"/>
      <c r="M58" s="11"/>
      <c r="N58" s="9"/>
      <c r="O58" s="9" t="str">
        <f t="shared" ca="1" si="3"/>
        <v>N/A</v>
      </c>
      <c r="P58" s="10"/>
      <c r="Q58" s="11"/>
      <c r="R58" s="11"/>
      <c r="S58" s="11"/>
      <c r="T58" s="9"/>
      <c r="U58" s="9" t="str">
        <f t="shared" ca="1" si="4"/>
        <v>N/A</v>
      </c>
      <c r="V58" s="10"/>
      <c r="W58" s="11"/>
      <c r="X58" s="9"/>
      <c r="Y58" s="9" t="s">
        <v>173</v>
      </c>
      <c r="Z58" s="9" t="s">
        <v>108</v>
      </c>
      <c r="AA58" s="10"/>
      <c r="AB58" s="10"/>
      <c r="AC58" s="11"/>
    </row>
    <row r="59" spans="2:29" ht="15" customHeight="1">
      <c r="B59" s="9" t="str">
        <f t="shared" si="0"/>
        <v>FDE-052</v>
      </c>
      <c r="C59" s="11" t="s">
        <v>199</v>
      </c>
      <c r="D59" s="9" t="s">
        <v>64</v>
      </c>
      <c r="E59" s="9" t="s">
        <v>117</v>
      </c>
      <c r="F59" s="10"/>
      <c r="G59" s="11" t="s">
        <v>110</v>
      </c>
      <c r="H59" s="36" t="str">
        <f t="shared" ca="1" si="1"/>
        <v>N/A</v>
      </c>
      <c r="I59" s="10"/>
      <c r="J59" s="9" t="s">
        <v>105</v>
      </c>
      <c r="K59" s="36" t="str">
        <f t="shared" ca="1" si="2"/>
        <v>N/A</v>
      </c>
      <c r="L59" s="10"/>
      <c r="M59" s="11"/>
      <c r="N59" s="9"/>
      <c r="O59" s="9" t="str">
        <f t="shared" ca="1" si="3"/>
        <v>N/A</v>
      </c>
      <c r="P59" s="10"/>
      <c r="Q59" s="11"/>
      <c r="R59" s="11"/>
      <c r="S59" s="11"/>
      <c r="T59" s="9"/>
      <c r="U59" s="9" t="str">
        <f t="shared" ca="1" si="4"/>
        <v>N/A</v>
      </c>
      <c r="V59" s="10"/>
      <c r="W59" s="11"/>
      <c r="X59" s="9"/>
      <c r="Y59" s="9" t="s">
        <v>170</v>
      </c>
      <c r="Z59" s="9" t="s">
        <v>108</v>
      </c>
      <c r="AA59" s="10"/>
      <c r="AB59" s="10"/>
      <c r="AC59" s="11"/>
    </row>
    <row r="60" spans="2:29" ht="15" customHeight="1">
      <c r="B60" s="9" t="str">
        <f t="shared" si="0"/>
        <v>FDE-053</v>
      </c>
      <c r="C60" s="11" t="s">
        <v>200</v>
      </c>
      <c r="D60" s="9" t="s">
        <v>63</v>
      </c>
      <c r="E60" s="9" t="s">
        <v>154</v>
      </c>
      <c r="F60" s="10"/>
      <c r="G60" s="11" t="s">
        <v>119</v>
      </c>
      <c r="H60" s="36" t="str">
        <f t="shared" ca="1" si="1"/>
        <v>N/A</v>
      </c>
      <c r="I60" s="10"/>
      <c r="J60" s="9" t="s">
        <v>105</v>
      </c>
      <c r="K60" s="36" t="str">
        <f t="shared" ca="1" si="2"/>
        <v>N/A</v>
      </c>
      <c r="L60" s="10"/>
      <c r="M60" s="11"/>
      <c r="N60" s="9"/>
      <c r="O60" s="9" t="str">
        <f t="shared" ca="1" si="3"/>
        <v>N/A</v>
      </c>
      <c r="P60" s="10"/>
      <c r="Q60" s="11"/>
      <c r="R60" s="11"/>
      <c r="S60" s="11"/>
      <c r="T60" s="9"/>
      <c r="U60" s="9" t="str">
        <f t="shared" ca="1" si="4"/>
        <v>N/A</v>
      </c>
      <c r="V60" s="10"/>
      <c r="W60" s="11"/>
      <c r="X60" s="9"/>
      <c r="Y60" s="9" t="s">
        <v>173</v>
      </c>
      <c r="Z60" s="9" t="s">
        <v>108</v>
      </c>
      <c r="AA60" s="10"/>
      <c r="AB60" s="10"/>
      <c r="AC60" s="11"/>
    </row>
    <row r="61" spans="2:29" ht="15" customHeight="1">
      <c r="B61" s="9" t="str">
        <f t="shared" si="0"/>
        <v>FDE-054</v>
      </c>
      <c r="C61" s="11" t="s">
        <v>201</v>
      </c>
      <c r="D61" s="9" t="s">
        <v>70</v>
      </c>
      <c r="E61" s="9" t="s">
        <v>103</v>
      </c>
      <c r="F61" s="10"/>
      <c r="G61" s="11" t="s">
        <v>110</v>
      </c>
      <c r="H61" s="36" t="str">
        <f t="shared" ca="1" si="1"/>
        <v>N/A</v>
      </c>
      <c r="I61" s="10"/>
      <c r="J61" s="9" t="s">
        <v>105</v>
      </c>
      <c r="K61" s="36" t="str">
        <f t="shared" ca="1" si="2"/>
        <v>N/A</v>
      </c>
      <c r="L61" s="10"/>
      <c r="M61" s="11"/>
      <c r="N61" s="9"/>
      <c r="O61" s="9" t="str">
        <f t="shared" ca="1" si="3"/>
        <v>N/A</v>
      </c>
      <c r="P61" s="10"/>
      <c r="Q61" s="11"/>
      <c r="R61" s="11"/>
      <c r="S61" s="11"/>
      <c r="T61" s="9"/>
      <c r="U61" s="9" t="str">
        <f t="shared" ca="1" si="4"/>
        <v>N/A</v>
      </c>
      <c r="V61" s="10"/>
      <c r="W61" s="11"/>
      <c r="X61" s="9"/>
      <c r="Y61" s="9" t="s">
        <v>170</v>
      </c>
      <c r="Z61" s="9" t="s">
        <v>108</v>
      </c>
      <c r="AA61" s="10"/>
      <c r="AB61" s="10"/>
      <c r="AC61" s="11"/>
    </row>
    <row r="62" spans="2:29" ht="15" customHeight="1">
      <c r="B62" s="9" t="str">
        <f t="shared" si="0"/>
        <v>FDE-055</v>
      </c>
      <c r="C62" s="11" t="s">
        <v>202</v>
      </c>
      <c r="D62" s="9" t="s">
        <v>71</v>
      </c>
      <c r="E62" s="9" t="s">
        <v>103</v>
      </c>
      <c r="F62" s="10"/>
      <c r="G62" s="11" t="s">
        <v>119</v>
      </c>
      <c r="H62" s="36" t="str">
        <f t="shared" ca="1" si="1"/>
        <v>N/A</v>
      </c>
      <c r="I62" s="10"/>
      <c r="J62" s="9" t="s">
        <v>105</v>
      </c>
      <c r="K62" s="36" t="str">
        <f t="shared" ca="1" si="2"/>
        <v>N/A</v>
      </c>
      <c r="L62" s="10"/>
      <c r="M62" s="11"/>
      <c r="N62" s="9"/>
      <c r="O62" s="9" t="str">
        <f t="shared" ca="1" si="3"/>
        <v>N/A</v>
      </c>
      <c r="P62" s="10"/>
      <c r="Q62" s="11"/>
      <c r="R62" s="11"/>
      <c r="S62" s="11"/>
      <c r="T62" s="9"/>
      <c r="U62" s="9" t="str">
        <f t="shared" ca="1" si="4"/>
        <v>N/A</v>
      </c>
      <c r="V62" s="10"/>
      <c r="W62" s="11"/>
      <c r="X62" s="9"/>
      <c r="Y62" s="9" t="s">
        <v>175</v>
      </c>
      <c r="Z62" s="9" t="s">
        <v>108</v>
      </c>
      <c r="AA62" s="10"/>
      <c r="AB62" s="10"/>
      <c r="AC62" s="11"/>
    </row>
    <row r="63" spans="2:29" ht="15" customHeight="1">
      <c r="B63" s="9" t="str">
        <f t="shared" si="0"/>
        <v>FDE-056</v>
      </c>
      <c r="C63" s="11" t="s">
        <v>203</v>
      </c>
      <c r="D63" s="9" t="s">
        <v>65</v>
      </c>
      <c r="E63" s="9" t="s">
        <v>204</v>
      </c>
      <c r="F63" s="10"/>
      <c r="G63" s="11" t="s">
        <v>104</v>
      </c>
      <c r="H63" s="36" t="str">
        <f t="shared" ca="1" si="1"/>
        <v>N/A</v>
      </c>
      <c r="I63" s="10"/>
      <c r="J63" s="9" t="s">
        <v>105</v>
      </c>
      <c r="K63" s="36" t="str">
        <f t="shared" ca="1" si="2"/>
        <v>N/A</v>
      </c>
      <c r="L63" s="10"/>
      <c r="M63" s="11"/>
      <c r="N63" s="9"/>
      <c r="O63" s="9" t="str">
        <f t="shared" ca="1" si="3"/>
        <v>N/A</v>
      </c>
      <c r="P63" s="10"/>
      <c r="Q63" s="11"/>
      <c r="R63" s="11"/>
      <c r="S63" s="11"/>
      <c r="T63" s="9"/>
      <c r="U63" s="9" t="str">
        <f t="shared" ca="1" si="4"/>
        <v>N/A</v>
      </c>
      <c r="V63" s="10"/>
      <c r="W63" s="11"/>
      <c r="X63" s="9"/>
      <c r="Y63" s="9" t="s">
        <v>170</v>
      </c>
      <c r="Z63" s="9" t="s">
        <v>108</v>
      </c>
      <c r="AA63" s="10"/>
      <c r="AB63" s="10"/>
      <c r="AC63" s="11"/>
    </row>
    <row r="64" spans="2:29" ht="15" customHeight="1">
      <c r="B64" s="9" t="str">
        <f t="shared" si="0"/>
        <v>FDE-057</v>
      </c>
      <c r="C64" s="11" t="s">
        <v>205</v>
      </c>
      <c r="D64" s="9" t="s">
        <v>70</v>
      </c>
      <c r="E64" s="9" t="s">
        <v>206</v>
      </c>
      <c r="F64" s="10"/>
      <c r="G64" s="11" t="s">
        <v>110</v>
      </c>
      <c r="H64" s="36" t="str">
        <f t="shared" ca="1" si="1"/>
        <v>N/A</v>
      </c>
      <c r="I64" s="10"/>
      <c r="J64" s="9" t="s">
        <v>105</v>
      </c>
      <c r="K64" s="36" t="str">
        <f t="shared" ca="1" si="2"/>
        <v>N/A</v>
      </c>
      <c r="L64" s="10"/>
      <c r="M64" s="11"/>
      <c r="N64" s="9"/>
      <c r="O64" s="9" t="str">
        <f t="shared" ca="1" si="3"/>
        <v>N/A</v>
      </c>
      <c r="P64" s="10"/>
      <c r="Q64" s="11"/>
      <c r="R64" s="11"/>
      <c r="S64" s="11"/>
      <c r="T64" s="9"/>
      <c r="U64" s="9" t="str">
        <f t="shared" ca="1" si="4"/>
        <v>N/A</v>
      </c>
      <c r="V64" s="10"/>
      <c r="W64" s="11"/>
      <c r="X64" s="9"/>
      <c r="Y64" s="9" t="s">
        <v>170</v>
      </c>
      <c r="Z64" s="9" t="s">
        <v>108</v>
      </c>
      <c r="AA64" s="10"/>
      <c r="AB64" s="10"/>
      <c r="AC64" s="11"/>
    </row>
    <row r="65" spans="2:29" ht="15" customHeight="1">
      <c r="B65" s="9" t="str">
        <f t="shared" si="0"/>
        <v>FDE-058</v>
      </c>
      <c r="C65" s="11" t="s">
        <v>207</v>
      </c>
      <c r="D65" s="9" t="s">
        <v>65</v>
      </c>
      <c r="E65" s="9" t="s">
        <v>122</v>
      </c>
      <c r="F65" s="10"/>
      <c r="G65" s="11" t="s">
        <v>104</v>
      </c>
      <c r="H65" s="36" t="str">
        <f t="shared" ca="1" si="1"/>
        <v>N/A</v>
      </c>
      <c r="I65" s="10"/>
      <c r="J65" s="9" t="s">
        <v>105</v>
      </c>
      <c r="K65" s="36" t="str">
        <f t="shared" ca="1" si="2"/>
        <v>N/A</v>
      </c>
      <c r="L65" s="10"/>
      <c r="M65" s="11"/>
      <c r="N65" s="9"/>
      <c r="O65" s="9" t="str">
        <f t="shared" ca="1" si="3"/>
        <v>N/A</v>
      </c>
      <c r="P65" s="10"/>
      <c r="Q65" s="11"/>
      <c r="R65" s="11"/>
      <c r="S65" s="11"/>
      <c r="T65" s="9"/>
      <c r="U65" s="9" t="str">
        <f t="shared" ca="1" si="4"/>
        <v>N/A</v>
      </c>
      <c r="V65" s="10"/>
      <c r="W65" s="11"/>
      <c r="X65" s="9"/>
      <c r="Y65" s="9" t="s">
        <v>173</v>
      </c>
      <c r="Z65" s="9" t="s">
        <v>108</v>
      </c>
      <c r="AA65" s="10"/>
      <c r="AB65" s="10"/>
      <c r="AC65" s="11"/>
    </row>
    <row r="66" spans="2:29" ht="15" customHeight="1">
      <c r="B66" s="9" t="str">
        <f t="shared" si="0"/>
        <v>FDE-059</v>
      </c>
      <c r="C66" s="11" t="s">
        <v>208</v>
      </c>
      <c r="D66" s="9" t="s">
        <v>63</v>
      </c>
      <c r="E66" s="9" t="s">
        <v>103</v>
      </c>
      <c r="F66" s="10"/>
      <c r="G66" s="11" t="s">
        <v>119</v>
      </c>
      <c r="H66" s="36" t="str">
        <f t="shared" ca="1" si="1"/>
        <v>N/A</v>
      </c>
      <c r="I66" s="10"/>
      <c r="J66" s="9" t="s">
        <v>105</v>
      </c>
      <c r="K66" s="36" t="str">
        <f t="shared" ca="1" si="2"/>
        <v>N/A</v>
      </c>
      <c r="L66" s="10"/>
      <c r="M66" s="11"/>
      <c r="N66" s="9"/>
      <c r="O66" s="9" t="str">
        <f t="shared" ca="1" si="3"/>
        <v>N/A</v>
      </c>
      <c r="P66" s="10"/>
      <c r="Q66" s="11"/>
      <c r="R66" s="11"/>
      <c r="S66" s="11"/>
      <c r="T66" s="9"/>
      <c r="U66" s="9" t="str">
        <f t="shared" ca="1" si="4"/>
        <v>N/A</v>
      </c>
      <c r="V66" s="10"/>
      <c r="W66" s="11"/>
      <c r="X66" s="9"/>
      <c r="Y66" s="9" t="s">
        <v>170</v>
      </c>
      <c r="Z66" s="9" t="s">
        <v>108</v>
      </c>
      <c r="AA66" s="10"/>
      <c r="AB66" s="10"/>
      <c r="AC66" s="11"/>
    </row>
    <row r="67" spans="2:29" ht="15" customHeight="1">
      <c r="B67" s="9" t="str">
        <f t="shared" si="0"/>
        <v>FDE-060</v>
      </c>
      <c r="C67" s="11" t="s">
        <v>209</v>
      </c>
      <c r="D67" s="9" t="s">
        <v>63</v>
      </c>
      <c r="E67" s="9" t="s">
        <v>103</v>
      </c>
      <c r="F67" s="10"/>
      <c r="G67" s="11" t="s">
        <v>119</v>
      </c>
      <c r="H67" s="36" t="str">
        <f t="shared" ca="1" si="1"/>
        <v>N/A</v>
      </c>
      <c r="I67" s="10"/>
      <c r="J67" s="9" t="s">
        <v>105</v>
      </c>
      <c r="K67" s="36" t="str">
        <f t="shared" ca="1" si="2"/>
        <v>N/A</v>
      </c>
      <c r="L67" s="10"/>
      <c r="M67" s="11"/>
      <c r="N67" s="9"/>
      <c r="O67" s="9" t="str">
        <f t="shared" ca="1" si="3"/>
        <v>N/A</v>
      </c>
      <c r="P67" s="10"/>
      <c r="Q67" s="11"/>
      <c r="R67" s="11"/>
      <c r="S67" s="11"/>
      <c r="T67" s="9"/>
      <c r="U67" s="9" t="str">
        <f t="shared" ca="1" si="4"/>
        <v>N/A</v>
      </c>
      <c r="V67" s="10"/>
      <c r="W67" s="11"/>
      <c r="X67" s="9"/>
      <c r="Y67" s="9" t="s">
        <v>175</v>
      </c>
      <c r="Z67" s="9" t="s">
        <v>108</v>
      </c>
      <c r="AA67" s="10"/>
      <c r="AB67" s="10"/>
      <c r="AC67" s="11"/>
    </row>
    <row r="68" spans="2:29" ht="15" customHeight="1">
      <c r="B68" s="9" t="str">
        <f t="shared" si="0"/>
        <v>FDE-061</v>
      </c>
      <c r="C68" s="11" t="s">
        <v>210</v>
      </c>
      <c r="D68" s="9" t="s">
        <v>63</v>
      </c>
      <c r="E68" s="9" t="s">
        <v>122</v>
      </c>
      <c r="F68" s="10"/>
      <c r="G68" s="11" t="s">
        <v>104</v>
      </c>
      <c r="H68" s="36" t="str">
        <f t="shared" ca="1" si="1"/>
        <v>N/A</v>
      </c>
      <c r="I68" s="10"/>
      <c r="J68" s="9" t="s">
        <v>105</v>
      </c>
      <c r="K68" s="36" t="str">
        <f t="shared" ca="1" si="2"/>
        <v>N/A</v>
      </c>
      <c r="L68" s="10"/>
      <c r="M68" s="11"/>
      <c r="N68" s="9"/>
      <c r="O68" s="9" t="str">
        <f t="shared" ca="1" si="3"/>
        <v>N/A</v>
      </c>
      <c r="P68" s="10"/>
      <c r="Q68" s="11"/>
      <c r="R68" s="11"/>
      <c r="S68" s="11"/>
      <c r="T68" s="9"/>
      <c r="U68" s="9" t="str">
        <f t="shared" ca="1" si="4"/>
        <v>N/A</v>
      </c>
      <c r="V68" s="10"/>
      <c r="W68" s="11"/>
      <c r="X68" s="9"/>
      <c r="Y68" s="9" t="s">
        <v>170</v>
      </c>
      <c r="Z68" s="9" t="s">
        <v>108</v>
      </c>
      <c r="AA68" s="10"/>
      <c r="AB68" s="10"/>
      <c r="AC68" s="11"/>
    </row>
    <row r="69" spans="2:29" ht="15" customHeight="1">
      <c r="B69" s="9" t="str">
        <f t="shared" si="0"/>
        <v>FDE-062</v>
      </c>
      <c r="C69" s="11" t="s">
        <v>211</v>
      </c>
      <c r="D69" s="9" t="s">
        <v>65</v>
      </c>
      <c r="E69" s="9" t="s">
        <v>103</v>
      </c>
      <c r="F69" s="10"/>
      <c r="G69" s="11" t="s">
        <v>104</v>
      </c>
      <c r="H69" s="36" t="str">
        <f t="shared" ca="1" si="1"/>
        <v>N/A</v>
      </c>
      <c r="I69" s="10"/>
      <c r="J69" s="9" t="s">
        <v>105</v>
      </c>
      <c r="K69" s="36" t="str">
        <f t="shared" ca="1" si="2"/>
        <v>N/A</v>
      </c>
      <c r="L69" s="10"/>
      <c r="M69" s="11"/>
      <c r="N69" s="9"/>
      <c r="O69" s="9" t="str">
        <f t="shared" ca="1" si="3"/>
        <v>N/A</v>
      </c>
      <c r="P69" s="10"/>
      <c r="Q69" s="11"/>
      <c r="R69" s="11"/>
      <c r="S69" s="11"/>
      <c r="T69" s="9"/>
      <c r="U69" s="9" t="str">
        <f t="shared" ca="1" si="4"/>
        <v>N/A</v>
      </c>
      <c r="V69" s="10"/>
      <c r="W69" s="11"/>
      <c r="X69" s="9"/>
      <c r="Y69" s="9" t="s">
        <v>170</v>
      </c>
      <c r="Z69" s="9" t="s">
        <v>108</v>
      </c>
      <c r="AA69" s="10"/>
      <c r="AB69" s="10"/>
      <c r="AC69" s="11"/>
    </row>
    <row r="70" spans="2:29" ht="15" customHeight="1">
      <c r="B70" s="9" t="str">
        <f t="shared" si="0"/>
        <v>FDE-063</v>
      </c>
      <c r="C70" s="11" t="s">
        <v>212</v>
      </c>
      <c r="D70" s="9" t="s">
        <v>63</v>
      </c>
      <c r="E70" s="9" t="s">
        <v>103</v>
      </c>
      <c r="F70" s="10"/>
      <c r="G70" s="11" t="s">
        <v>119</v>
      </c>
      <c r="H70" s="36" t="str">
        <f t="shared" ca="1" si="1"/>
        <v>N/A</v>
      </c>
      <c r="I70" s="10"/>
      <c r="J70" s="9" t="s">
        <v>105</v>
      </c>
      <c r="K70" s="36" t="str">
        <f t="shared" ca="1" si="2"/>
        <v>N/A</v>
      </c>
      <c r="L70" s="10"/>
      <c r="M70" s="11"/>
      <c r="N70" s="9"/>
      <c r="O70" s="9" t="str">
        <f t="shared" ca="1" si="3"/>
        <v>N/A</v>
      </c>
      <c r="P70" s="10"/>
      <c r="Q70" s="11"/>
      <c r="R70" s="11"/>
      <c r="S70" s="11"/>
      <c r="T70" s="9"/>
      <c r="U70" s="9" t="str">
        <f t="shared" ca="1" si="4"/>
        <v>N/A</v>
      </c>
      <c r="V70" s="10"/>
      <c r="W70" s="11"/>
      <c r="X70" s="9"/>
      <c r="Y70" s="9" t="s">
        <v>173</v>
      </c>
      <c r="Z70" s="9" t="s">
        <v>108</v>
      </c>
      <c r="AA70" s="10"/>
      <c r="AB70" s="10"/>
      <c r="AC70" s="11"/>
    </row>
    <row r="71" spans="2:29" ht="15" customHeight="1">
      <c r="B71" s="9" t="str">
        <f t="shared" si="0"/>
        <v>FDE-064</v>
      </c>
      <c r="C71" s="11" t="s">
        <v>213</v>
      </c>
      <c r="D71" s="9" t="s">
        <v>70</v>
      </c>
      <c r="E71" s="9" t="s">
        <v>103</v>
      </c>
      <c r="F71" s="10"/>
      <c r="G71" s="11" t="s">
        <v>110</v>
      </c>
      <c r="H71" s="36" t="str">
        <f t="shared" ca="1" si="1"/>
        <v>N/A</v>
      </c>
      <c r="I71" s="10"/>
      <c r="J71" s="9" t="s">
        <v>105</v>
      </c>
      <c r="K71" s="36" t="str">
        <f t="shared" ca="1" si="2"/>
        <v>N/A</v>
      </c>
      <c r="L71" s="10"/>
      <c r="M71" s="11"/>
      <c r="N71" s="9"/>
      <c r="O71" s="9" t="str">
        <f t="shared" ca="1" si="3"/>
        <v>N/A</v>
      </c>
      <c r="P71" s="10"/>
      <c r="Q71" s="11"/>
      <c r="R71" s="11"/>
      <c r="S71" s="11"/>
      <c r="T71" s="9"/>
      <c r="U71" s="9" t="str">
        <f t="shared" ca="1" si="4"/>
        <v>N/A</v>
      </c>
      <c r="V71" s="10"/>
      <c r="W71" s="11"/>
      <c r="X71" s="9"/>
      <c r="Y71" s="9" t="s">
        <v>170</v>
      </c>
      <c r="Z71" s="9" t="s">
        <v>108</v>
      </c>
      <c r="AA71" s="10"/>
      <c r="AB71" s="10"/>
      <c r="AC71" s="11"/>
    </row>
    <row r="72" spans="2:29" ht="15" customHeight="1">
      <c r="B72" s="9" t="str">
        <f t="shared" ref="B72:B135" si="5">IF(C72="","","FDE-"&amp;TEXT(ROW()-7,"000"))</f>
        <v>FDE-065</v>
      </c>
      <c r="C72" s="11" t="s">
        <v>214</v>
      </c>
      <c r="D72" s="9" t="s">
        <v>70</v>
      </c>
      <c r="E72" s="9" t="s">
        <v>103</v>
      </c>
      <c r="F72" s="10"/>
      <c r="G72" s="11" t="s">
        <v>110</v>
      </c>
      <c r="H72" s="36" t="str">
        <f t="shared" ca="1" si="1"/>
        <v>N/A</v>
      </c>
      <c r="I72" s="10"/>
      <c r="J72" s="9" t="s">
        <v>105</v>
      </c>
      <c r="K72" s="36" t="str">
        <f t="shared" ca="1" si="2"/>
        <v>N/A</v>
      </c>
      <c r="L72" s="10"/>
      <c r="M72" s="11"/>
      <c r="N72" s="9"/>
      <c r="O72" s="9" t="str">
        <f t="shared" ca="1" si="3"/>
        <v>N/A</v>
      </c>
      <c r="P72" s="10"/>
      <c r="Q72" s="11"/>
      <c r="R72" s="11"/>
      <c r="S72" s="11"/>
      <c r="T72" s="9"/>
      <c r="U72" s="9" t="str">
        <f t="shared" ca="1" si="4"/>
        <v>N/A</v>
      </c>
      <c r="V72" s="10"/>
      <c r="W72" s="11"/>
      <c r="X72" s="9"/>
      <c r="Y72" s="9" t="s">
        <v>170</v>
      </c>
      <c r="Z72" s="9" t="s">
        <v>108</v>
      </c>
      <c r="AA72" s="10"/>
      <c r="AB72" s="10"/>
      <c r="AC72" s="11"/>
    </row>
    <row r="73" spans="2:29" ht="15" customHeight="1">
      <c r="B73" s="9" t="str">
        <f t="shared" si="5"/>
        <v/>
      </c>
      <c r="C73" s="11"/>
      <c r="D73" s="9"/>
      <c r="E73" s="9"/>
      <c r="F73" s="10"/>
      <c r="G73" s="11"/>
      <c r="H73" s="36" t="str">
        <f t="shared" ref="H73:H136" ca="1" si="6">IF(OR(F73="",F73&gt;TODAY()),"N/A",IF(I73="",TODAY()-F73,I73-F73))</f>
        <v>N/A</v>
      </c>
      <c r="I73" s="10"/>
      <c r="J73" s="9"/>
      <c r="K73" s="36" t="str">
        <f t="shared" ref="K73:K136" ca="1" si="7">IF(OR(J73="Fail",I73="",I73&gt;TODAY()),"N/A",IF(L73="",TODAY()-I73,L73-I73))</f>
        <v>N/A</v>
      </c>
      <c r="L73" s="10"/>
      <c r="M73" s="11"/>
      <c r="N73" s="9"/>
      <c r="O73" s="9" t="str">
        <f t="shared" ref="O73:O136" ca="1" si="8">IF(OR(N73="Fail",L73="",L73&gt;TODAY()),"N/A",IF(P73="",TODAY()-L73,P73-L73))</f>
        <v>N/A</v>
      </c>
      <c r="P73" s="10"/>
      <c r="Q73" s="11"/>
      <c r="R73" s="11"/>
      <c r="S73" s="11"/>
      <c r="T73" s="9"/>
      <c r="U73" s="9" t="str">
        <f t="shared" ref="U73:U136" ca="1" si="9">IF(OR(T73="Fail",P73="",P73&gt;TODAY()),"N/A",IF(V73="",TODAY()-P73,V73-P73))</f>
        <v>N/A</v>
      </c>
      <c r="V73" s="10"/>
      <c r="W73" s="11"/>
      <c r="X73" s="9"/>
      <c r="Y73" s="9"/>
      <c r="Z73" s="9"/>
      <c r="AA73" s="10"/>
      <c r="AB73" s="10"/>
      <c r="AC73" s="11"/>
    </row>
    <row r="74" spans="2:29" ht="15" customHeight="1">
      <c r="B74" s="9" t="str">
        <f t="shared" si="5"/>
        <v/>
      </c>
      <c r="C74" s="11"/>
      <c r="D74" s="9"/>
      <c r="E74" s="9"/>
      <c r="F74" s="10"/>
      <c r="G74" s="11"/>
      <c r="H74" s="36" t="str">
        <f t="shared" ca="1" si="6"/>
        <v>N/A</v>
      </c>
      <c r="I74" s="10"/>
      <c r="J74" s="9"/>
      <c r="K74" s="36" t="str">
        <f t="shared" ca="1" si="7"/>
        <v>N/A</v>
      </c>
      <c r="L74" s="10"/>
      <c r="M74" s="11"/>
      <c r="N74" s="9"/>
      <c r="O74" s="9" t="str">
        <f t="shared" ca="1" si="8"/>
        <v>N/A</v>
      </c>
      <c r="P74" s="10"/>
      <c r="Q74" s="11"/>
      <c r="R74" s="11"/>
      <c r="S74" s="11"/>
      <c r="T74" s="9"/>
      <c r="U74" s="9" t="str">
        <f t="shared" ca="1" si="9"/>
        <v>N/A</v>
      </c>
      <c r="V74" s="10"/>
      <c r="W74" s="11"/>
      <c r="X74" s="9"/>
      <c r="Y74" s="9"/>
      <c r="Z74" s="9"/>
      <c r="AA74" s="10"/>
      <c r="AB74" s="10"/>
      <c r="AC74" s="11"/>
    </row>
    <row r="75" spans="2:29" ht="15" customHeight="1">
      <c r="B75" s="9" t="str">
        <f t="shared" si="5"/>
        <v/>
      </c>
      <c r="C75" s="11"/>
      <c r="D75" s="9"/>
      <c r="E75" s="9"/>
      <c r="F75" s="10"/>
      <c r="G75" s="11"/>
      <c r="H75" s="36" t="str">
        <f t="shared" ca="1" si="6"/>
        <v>N/A</v>
      </c>
      <c r="I75" s="10"/>
      <c r="J75" s="9"/>
      <c r="K75" s="36" t="str">
        <f t="shared" ca="1" si="7"/>
        <v>N/A</v>
      </c>
      <c r="L75" s="10"/>
      <c r="M75" s="11"/>
      <c r="N75" s="9"/>
      <c r="O75" s="9" t="str">
        <f t="shared" ca="1" si="8"/>
        <v>N/A</v>
      </c>
      <c r="P75" s="10"/>
      <c r="Q75" s="11"/>
      <c r="R75" s="11"/>
      <c r="S75" s="11"/>
      <c r="T75" s="9"/>
      <c r="U75" s="9" t="str">
        <f t="shared" ca="1" si="9"/>
        <v>N/A</v>
      </c>
      <c r="V75" s="10"/>
      <c r="W75" s="11"/>
      <c r="X75" s="9"/>
      <c r="Y75" s="9"/>
      <c r="Z75" s="9"/>
      <c r="AA75" s="10"/>
      <c r="AB75" s="10"/>
      <c r="AC75" s="11"/>
    </row>
    <row r="76" spans="2:29" ht="15" customHeight="1">
      <c r="B76" s="9" t="str">
        <f t="shared" si="5"/>
        <v/>
      </c>
      <c r="C76" s="11"/>
      <c r="D76" s="9"/>
      <c r="E76" s="9"/>
      <c r="F76" s="10"/>
      <c r="G76" s="11"/>
      <c r="H76" s="36" t="str">
        <f t="shared" ca="1" si="6"/>
        <v>N/A</v>
      </c>
      <c r="I76" s="10"/>
      <c r="J76" s="9"/>
      <c r="K76" s="36" t="str">
        <f t="shared" ca="1" si="7"/>
        <v>N/A</v>
      </c>
      <c r="L76" s="10"/>
      <c r="M76" s="11"/>
      <c r="N76" s="9"/>
      <c r="O76" s="9" t="str">
        <f t="shared" ca="1" si="8"/>
        <v>N/A</v>
      </c>
      <c r="P76" s="10"/>
      <c r="Q76" s="11"/>
      <c r="R76" s="11"/>
      <c r="S76" s="11"/>
      <c r="T76" s="9"/>
      <c r="U76" s="9" t="str">
        <f t="shared" ca="1" si="9"/>
        <v>N/A</v>
      </c>
      <c r="V76" s="10"/>
      <c r="W76" s="11"/>
      <c r="X76" s="9"/>
      <c r="Y76" s="9"/>
      <c r="Z76" s="9"/>
      <c r="AA76" s="10"/>
      <c r="AB76" s="10"/>
      <c r="AC76" s="11"/>
    </row>
    <row r="77" spans="2:29" ht="15" customHeight="1">
      <c r="B77" s="9" t="str">
        <f t="shared" si="5"/>
        <v/>
      </c>
      <c r="C77" s="11"/>
      <c r="D77" s="9"/>
      <c r="E77" s="9"/>
      <c r="F77" s="10"/>
      <c r="G77" s="11"/>
      <c r="H77" s="36" t="str">
        <f t="shared" ca="1" si="6"/>
        <v>N/A</v>
      </c>
      <c r="I77" s="10"/>
      <c r="J77" s="9"/>
      <c r="K77" s="36" t="str">
        <f t="shared" ca="1" si="7"/>
        <v>N/A</v>
      </c>
      <c r="L77" s="10"/>
      <c r="M77" s="11"/>
      <c r="N77" s="9"/>
      <c r="O77" s="9" t="str">
        <f t="shared" ca="1" si="8"/>
        <v>N/A</v>
      </c>
      <c r="P77" s="10"/>
      <c r="Q77" s="11"/>
      <c r="R77" s="11"/>
      <c r="S77" s="11"/>
      <c r="T77" s="9"/>
      <c r="U77" s="9" t="str">
        <f t="shared" ca="1" si="9"/>
        <v>N/A</v>
      </c>
      <c r="V77" s="10"/>
      <c r="W77" s="11"/>
      <c r="X77" s="9"/>
      <c r="Y77" s="9"/>
      <c r="Z77" s="9"/>
      <c r="AA77" s="10"/>
      <c r="AB77" s="10"/>
      <c r="AC77" s="11"/>
    </row>
    <row r="78" spans="2:29" ht="15" customHeight="1">
      <c r="B78" s="9" t="str">
        <f t="shared" si="5"/>
        <v/>
      </c>
      <c r="C78" s="11"/>
      <c r="D78" s="9"/>
      <c r="E78" s="9"/>
      <c r="F78" s="10"/>
      <c r="G78" s="11"/>
      <c r="H78" s="36" t="str">
        <f t="shared" ca="1" si="6"/>
        <v>N/A</v>
      </c>
      <c r="I78" s="10"/>
      <c r="J78" s="9"/>
      <c r="K78" s="36" t="str">
        <f t="shared" ca="1" si="7"/>
        <v>N/A</v>
      </c>
      <c r="L78" s="10"/>
      <c r="M78" s="11"/>
      <c r="N78" s="9"/>
      <c r="O78" s="9" t="str">
        <f t="shared" ca="1" si="8"/>
        <v>N/A</v>
      </c>
      <c r="P78" s="10"/>
      <c r="Q78" s="11"/>
      <c r="R78" s="11"/>
      <c r="S78" s="11"/>
      <c r="T78" s="9"/>
      <c r="U78" s="9" t="str">
        <f t="shared" ca="1" si="9"/>
        <v>N/A</v>
      </c>
      <c r="V78" s="10"/>
      <c r="W78" s="11"/>
      <c r="X78" s="9"/>
      <c r="Y78" s="9"/>
      <c r="Z78" s="9"/>
      <c r="AA78" s="10"/>
      <c r="AB78" s="10"/>
      <c r="AC78" s="11"/>
    </row>
    <row r="79" spans="2:29" ht="15" customHeight="1">
      <c r="B79" s="9" t="str">
        <f t="shared" si="5"/>
        <v/>
      </c>
      <c r="C79" s="11"/>
      <c r="D79" s="9"/>
      <c r="E79" s="9"/>
      <c r="F79" s="10"/>
      <c r="G79" s="11"/>
      <c r="H79" s="36" t="str">
        <f t="shared" ca="1" si="6"/>
        <v>N/A</v>
      </c>
      <c r="I79" s="10"/>
      <c r="J79" s="9"/>
      <c r="K79" s="36" t="str">
        <f t="shared" ca="1" si="7"/>
        <v>N/A</v>
      </c>
      <c r="L79" s="10"/>
      <c r="M79" s="11"/>
      <c r="N79" s="9"/>
      <c r="O79" s="9" t="str">
        <f t="shared" ca="1" si="8"/>
        <v>N/A</v>
      </c>
      <c r="P79" s="10"/>
      <c r="Q79" s="11"/>
      <c r="R79" s="11"/>
      <c r="S79" s="11"/>
      <c r="T79" s="9"/>
      <c r="U79" s="9" t="str">
        <f t="shared" ca="1" si="9"/>
        <v>N/A</v>
      </c>
      <c r="V79" s="10"/>
      <c r="W79" s="11"/>
      <c r="X79" s="9"/>
      <c r="Y79" s="9"/>
      <c r="Z79" s="9"/>
      <c r="AA79" s="10"/>
      <c r="AB79" s="10"/>
      <c r="AC79" s="11"/>
    </row>
    <row r="80" spans="2:29" ht="15" customHeight="1">
      <c r="B80" s="9" t="str">
        <f t="shared" si="5"/>
        <v/>
      </c>
      <c r="C80" s="11"/>
      <c r="D80" s="9"/>
      <c r="E80" s="9"/>
      <c r="F80" s="10"/>
      <c r="G80" s="11"/>
      <c r="H80" s="36" t="str">
        <f t="shared" ca="1" si="6"/>
        <v>N/A</v>
      </c>
      <c r="I80" s="10"/>
      <c r="J80" s="9"/>
      <c r="K80" s="36" t="str">
        <f t="shared" ca="1" si="7"/>
        <v>N/A</v>
      </c>
      <c r="L80" s="10"/>
      <c r="M80" s="11"/>
      <c r="N80" s="9"/>
      <c r="O80" s="9" t="str">
        <f t="shared" ca="1" si="8"/>
        <v>N/A</v>
      </c>
      <c r="P80" s="10"/>
      <c r="Q80" s="11"/>
      <c r="R80" s="11"/>
      <c r="S80" s="11"/>
      <c r="T80" s="9"/>
      <c r="U80" s="9" t="str">
        <f t="shared" ca="1" si="9"/>
        <v>N/A</v>
      </c>
      <c r="V80" s="10"/>
      <c r="W80" s="11"/>
      <c r="X80" s="9"/>
      <c r="Y80" s="9"/>
      <c r="Z80" s="9"/>
      <c r="AA80" s="10"/>
      <c r="AB80" s="10"/>
      <c r="AC80" s="11"/>
    </row>
    <row r="81" spans="2:29" ht="15" customHeight="1">
      <c r="B81" s="9" t="str">
        <f t="shared" si="5"/>
        <v/>
      </c>
      <c r="C81" s="11"/>
      <c r="D81" s="9"/>
      <c r="E81" s="9"/>
      <c r="F81" s="10"/>
      <c r="G81" s="11"/>
      <c r="H81" s="36" t="str">
        <f t="shared" ca="1" si="6"/>
        <v>N/A</v>
      </c>
      <c r="I81" s="10"/>
      <c r="J81" s="9"/>
      <c r="K81" s="36" t="str">
        <f t="shared" ca="1" si="7"/>
        <v>N/A</v>
      </c>
      <c r="L81" s="10"/>
      <c r="M81" s="11"/>
      <c r="N81" s="9"/>
      <c r="O81" s="9" t="str">
        <f t="shared" ca="1" si="8"/>
        <v>N/A</v>
      </c>
      <c r="P81" s="10"/>
      <c r="Q81" s="11"/>
      <c r="R81" s="11"/>
      <c r="S81" s="11"/>
      <c r="T81" s="9"/>
      <c r="U81" s="9" t="str">
        <f t="shared" ca="1" si="9"/>
        <v>N/A</v>
      </c>
      <c r="V81" s="10"/>
      <c r="W81" s="11"/>
      <c r="X81" s="9"/>
      <c r="Y81" s="9"/>
      <c r="Z81" s="9"/>
      <c r="AA81" s="10"/>
      <c r="AB81" s="10"/>
      <c r="AC81" s="11"/>
    </row>
    <row r="82" spans="2:29" ht="15" customHeight="1">
      <c r="B82" s="9" t="str">
        <f t="shared" si="5"/>
        <v/>
      </c>
      <c r="C82" s="11"/>
      <c r="D82" s="9"/>
      <c r="E82" s="9"/>
      <c r="F82" s="10"/>
      <c r="G82" s="11"/>
      <c r="H82" s="36" t="str">
        <f t="shared" ca="1" si="6"/>
        <v>N/A</v>
      </c>
      <c r="I82" s="10"/>
      <c r="J82" s="9"/>
      <c r="K82" s="36" t="str">
        <f t="shared" ca="1" si="7"/>
        <v>N/A</v>
      </c>
      <c r="L82" s="10"/>
      <c r="M82" s="11"/>
      <c r="N82" s="9"/>
      <c r="O82" s="9" t="str">
        <f t="shared" ca="1" si="8"/>
        <v>N/A</v>
      </c>
      <c r="P82" s="10"/>
      <c r="Q82" s="11"/>
      <c r="R82" s="11"/>
      <c r="S82" s="11"/>
      <c r="T82" s="9"/>
      <c r="U82" s="9" t="str">
        <f t="shared" ca="1" si="9"/>
        <v>N/A</v>
      </c>
      <c r="V82" s="10"/>
      <c r="W82" s="11"/>
      <c r="X82" s="9"/>
      <c r="Y82" s="9"/>
      <c r="Z82" s="9"/>
      <c r="AA82" s="10"/>
      <c r="AB82" s="10"/>
      <c r="AC82" s="11"/>
    </row>
    <row r="83" spans="2:29" ht="15" customHeight="1">
      <c r="B83" s="9" t="str">
        <f t="shared" si="5"/>
        <v/>
      </c>
      <c r="C83" s="11"/>
      <c r="D83" s="9"/>
      <c r="E83" s="9"/>
      <c r="F83" s="10"/>
      <c r="G83" s="11"/>
      <c r="H83" s="36" t="str">
        <f t="shared" ca="1" si="6"/>
        <v>N/A</v>
      </c>
      <c r="I83" s="10"/>
      <c r="J83" s="9"/>
      <c r="K83" s="36" t="str">
        <f t="shared" ca="1" si="7"/>
        <v>N/A</v>
      </c>
      <c r="L83" s="10"/>
      <c r="M83" s="11"/>
      <c r="N83" s="9"/>
      <c r="O83" s="9" t="str">
        <f t="shared" ca="1" si="8"/>
        <v>N/A</v>
      </c>
      <c r="P83" s="10"/>
      <c r="Q83" s="11"/>
      <c r="R83" s="11"/>
      <c r="S83" s="11"/>
      <c r="T83" s="9"/>
      <c r="U83" s="9" t="str">
        <f t="shared" ca="1" si="9"/>
        <v>N/A</v>
      </c>
      <c r="V83" s="10"/>
      <c r="W83" s="11"/>
      <c r="X83" s="9"/>
      <c r="Y83" s="9"/>
      <c r="Z83" s="9"/>
      <c r="AA83" s="10"/>
      <c r="AB83" s="10"/>
      <c r="AC83" s="11"/>
    </row>
    <row r="84" spans="2:29" ht="15" customHeight="1">
      <c r="B84" s="9" t="str">
        <f t="shared" si="5"/>
        <v/>
      </c>
      <c r="C84" s="11"/>
      <c r="D84" s="9"/>
      <c r="E84" s="9"/>
      <c r="F84" s="10"/>
      <c r="G84" s="11"/>
      <c r="H84" s="36" t="str">
        <f t="shared" ca="1" si="6"/>
        <v>N/A</v>
      </c>
      <c r="I84" s="10"/>
      <c r="J84" s="9"/>
      <c r="K84" s="36" t="str">
        <f t="shared" ca="1" si="7"/>
        <v>N/A</v>
      </c>
      <c r="L84" s="10"/>
      <c r="M84" s="11"/>
      <c r="N84" s="9"/>
      <c r="O84" s="9" t="str">
        <f t="shared" ca="1" si="8"/>
        <v>N/A</v>
      </c>
      <c r="P84" s="10"/>
      <c r="Q84" s="11"/>
      <c r="R84" s="11"/>
      <c r="S84" s="11"/>
      <c r="T84" s="9"/>
      <c r="U84" s="9" t="str">
        <f t="shared" ca="1" si="9"/>
        <v>N/A</v>
      </c>
      <c r="V84" s="10"/>
      <c r="W84" s="11"/>
      <c r="X84" s="9"/>
      <c r="Y84" s="9"/>
      <c r="Z84" s="9"/>
      <c r="AA84" s="10"/>
      <c r="AB84" s="10"/>
      <c r="AC84" s="11"/>
    </row>
    <row r="85" spans="2:29" ht="15" customHeight="1">
      <c r="B85" s="9" t="str">
        <f t="shared" si="5"/>
        <v/>
      </c>
      <c r="C85" s="11"/>
      <c r="D85" s="9"/>
      <c r="E85" s="9"/>
      <c r="F85" s="10"/>
      <c r="G85" s="11"/>
      <c r="H85" s="36" t="str">
        <f t="shared" ca="1" si="6"/>
        <v>N/A</v>
      </c>
      <c r="I85" s="10"/>
      <c r="J85" s="9"/>
      <c r="K85" s="36" t="str">
        <f t="shared" ca="1" si="7"/>
        <v>N/A</v>
      </c>
      <c r="L85" s="10"/>
      <c r="M85" s="11"/>
      <c r="N85" s="9"/>
      <c r="O85" s="9" t="str">
        <f t="shared" ca="1" si="8"/>
        <v>N/A</v>
      </c>
      <c r="P85" s="10"/>
      <c r="Q85" s="11"/>
      <c r="R85" s="11"/>
      <c r="S85" s="11"/>
      <c r="T85" s="9"/>
      <c r="U85" s="9" t="str">
        <f t="shared" ca="1" si="9"/>
        <v>N/A</v>
      </c>
      <c r="V85" s="10"/>
      <c r="W85" s="11"/>
      <c r="X85" s="9"/>
      <c r="Y85" s="9"/>
      <c r="Z85" s="9"/>
      <c r="AA85" s="10"/>
      <c r="AB85" s="10"/>
      <c r="AC85" s="11"/>
    </row>
    <row r="86" spans="2:29" ht="15" customHeight="1">
      <c r="B86" s="9" t="str">
        <f t="shared" si="5"/>
        <v/>
      </c>
      <c r="C86" s="11"/>
      <c r="D86" s="9"/>
      <c r="E86" s="9"/>
      <c r="F86" s="10"/>
      <c r="G86" s="11"/>
      <c r="H86" s="36" t="str">
        <f t="shared" ca="1" si="6"/>
        <v>N/A</v>
      </c>
      <c r="I86" s="10"/>
      <c r="J86" s="9"/>
      <c r="K86" s="36" t="str">
        <f t="shared" ca="1" si="7"/>
        <v>N/A</v>
      </c>
      <c r="L86" s="10"/>
      <c r="M86" s="11"/>
      <c r="N86" s="9"/>
      <c r="O86" s="9" t="str">
        <f t="shared" ca="1" si="8"/>
        <v>N/A</v>
      </c>
      <c r="P86" s="10"/>
      <c r="Q86" s="11"/>
      <c r="R86" s="11"/>
      <c r="S86" s="11"/>
      <c r="T86" s="9"/>
      <c r="U86" s="9" t="str">
        <f t="shared" ca="1" si="9"/>
        <v>N/A</v>
      </c>
      <c r="V86" s="10"/>
      <c r="W86" s="11"/>
      <c r="X86" s="9"/>
      <c r="Y86" s="9"/>
      <c r="Z86" s="9"/>
      <c r="AA86" s="10"/>
      <c r="AB86" s="10"/>
      <c r="AC86" s="11"/>
    </row>
    <row r="87" spans="2:29" ht="15" customHeight="1">
      <c r="B87" s="9" t="str">
        <f t="shared" si="5"/>
        <v/>
      </c>
      <c r="C87" s="11"/>
      <c r="D87" s="9"/>
      <c r="E87" s="9"/>
      <c r="F87" s="10"/>
      <c r="G87" s="11"/>
      <c r="H87" s="36" t="str">
        <f t="shared" ca="1" si="6"/>
        <v>N/A</v>
      </c>
      <c r="I87" s="10"/>
      <c r="J87" s="9"/>
      <c r="K87" s="36" t="str">
        <f t="shared" ca="1" si="7"/>
        <v>N/A</v>
      </c>
      <c r="L87" s="10"/>
      <c r="M87" s="11"/>
      <c r="N87" s="9"/>
      <c r="O87" s="9" t="str">
        <f t="shared" ca="1" si="8"/>
        <v>N/A</v>
      </c>
      <c r="P87" s="10"/>
      <c r="Q87" s="11"/>
      <c r="R87" s="11"/>
      <c r="S87" s="11"/>
      <c r="T87" s="9"/>
      <c r="U87" s="9" t="str">
        <f t="shared" ca="1" si="9"/>
        <v>N/A</v>
      </c>
      <c r="V87" s="10"/>
      <c r="W87" s="11"/>
      <c r="X87" s="9"/>
      <c r="Y87" s="9"/>
      <c r="Z87" s="9"/>
      <c r="AA87" s="10"/>
      <c r="AB87" s="10"/>
      <c r="AC87" s="11"/>
    </row>
    <row r="88" spans="2:29" ht="15" customHeight="1">
      <c r="B88" s="9" t="str">
        <f t="shared" si="5"/>
        <v/>
      </c>
      <c r="C88" s="11"/>
      <c r="D88" s="9"/>
      <c r="E88" s="9"/>
      <c r="F88" s="10"/>
      <c r="G88" s="11"/>
      <c r="H88" s="36" t="str">
        <f t="shared" ca="1" si="6"/>
        <v>N/A</v>
      </c>
      <c r="I88" s="10"/>
      <c r="J88" s="9"/>
      <c r="K88" s="36" t="str">
        <f t="shared" ca="1" si="7"/>
        <v>N/A</v>
      </c>
      <c r="L88" s="10"/>
      <c r="M88" s="11"/>
      <c r="N88" s="9"/>
      <c r="O88" s="9" t="str">
        <f t="shared" ca="1" si="8"/>
        <v>N/A</v>
      </c>
      <c r="P88" s="10"/>
      <c r="Q88" s="11"/>
      <c r="R88" s="11"/>
      <c r="S88" s="11"/>
      <c r="T88" s="9"/>
      <c r="U88" s="9" t="str">
        <f t="shared" ca="1" si="9"/>
        <v>N/A</v>
      </c>
      <c r="V88" s="10"/>
      <c r="W88" s="11"/>
      <c r="X88" s="9"/>
      <c r="Y88" s="9"/>
      <c r="Z88" s="9"/>
      <c r="AA88" s="10"/>
      <c r="AB88" s="10"/>
      <c r="AC88" s="11"/>
    </row>
    <row r="89" spans="2:29" ht="15" customHeight="1">
      <c r="B89" s="9" t="str">
        <f t="shared" si="5"/>
        <v/>
      </c>
      <c r="C89" s="11"/>
      <c r="D89" s="9"/>
      <c r="E89" s="9"/>
      <c r="F89" s="10"/>
      <c r="G89" s="11"/>
      <c r="H89" s="36" t="str">
        <f t="shared" ca="1" si="6"/>
        <v>N/A</v>
      </c>
      <c r="I89" s="10"/>
      <c r="J89" s="9"/>
      <c r="K89" s="36" t="str">
        <f t="shared" ca="1" si="7"/>
        <v>N/A</v>
      </c>
      <c r="L89" s="10"/>
      <c r="M89" s="11"/>
      <c r="N89" s="9"/>
      <c r="O89" s="9" t="str">
        <f t="shared" ca="1" si="8"/>
        <v>N/A</v>
      </c>
      <c r="P89" s="10"/>
      <c r="Q89" s="11"/>
      <c r="R89" s="11"/>
      <c r="S89" s="11"/>
      <c r="T89" s="9"/>
      <c r="U89" s="9" t="str">
        <f t="shared" ca="1" si="9"/>
        <v>N/A</v>
      </c>
      <c r="V89" s="10"/>
      <c r="W89" s="11"/>
      <c r="X89" s="9"/>
      <c r="Y89" s="9"/>
      <c r="Z89" s="9"/>
      <c r="AA89" s="10"/>
      <c r="AB89" s="10"/>
      <c r="AC89" s="11"/>
    </row>
    <row r="90" spans="2:29" ht="15" customHeight="1">
      <c r="B90" s="9" t="str">
        <f t="shared" si="5"/>
        <v/>
      </c>
      <c r="C90" s="11"/>
      <c r="D90" s="9"/>
      <c r="E90" s="9"/>
      <c r="F90" s="10"/>
      <c r="G90" s="11"/>
      <c r="H90" s="36" t="str">
        <f t="shared" ca="1" si="6"/>
        <v>N/A</v>
      </c>
      <c r="I90" s="10"/>
      <c r="J90" s="9"/>
      <c r="K90" s="36" t="str">
        <f t="shared" ca="1" si="7"/>
        <v>N/A</v>
      </c>
      <c r="L90" s="10"/>
      <c r="M90" s="11"/>
      <c r="N90" s="9"/>
      <c r="O90" s="9" t="str">
        <f t="shared" ca="1" si="8"/>
        <v>N/A</v>
      </c>
      <c r="P90" s="10"/>
      <c r="Q90" s="11"/>
      <c r="R90" s="11"/>
      <c r="S90" s="11"/>
      <c r="T90" s="9"/>
      <c r="U90" s="9" t="str">
        <f t="shared" ca="1" si="9"/>
        <v>N/A</v>
      </c>
      <c r="V90" s="10"/>
      <c r="W90" s="11"/>
      <c r="X90" s="9"/>
      <c r="Y90" s="9"/>
      <c r="Z90" s="9"/>
      <c r="AA90" s="10"/>
      <c r="AB90" s="10"/>
      <c r="AC90" s="11"/>
    </row>
    <row r="91" spans="2:29" ht="15" customHeight="1">
      <c r="B91" s="9" t="str">
        <f t="shared" si="5"/>
        <v/>
      </c>
      <c r="C91" s="11"/>
      <c r="D91" s="9"/>
      <c r="E91" s="9"/>
      <c r="F91" s="10"/>
      <c r="G91" s="11"/>
      <c r="H91" s="36" t="str">
        <f t="shared" ca="1" si="6"/>
        <v>N/A</v>
      </c>
      <c r="I91" s="10"/>
      <c r="J91" s="9"/>
      <c r="K91" s="36" t="str">
        <f t="shared" ca="1" si="7"/>
        <v>N/A</v>
      </c>
      <c r="L91" s="10"/>
      <c r="M91" s="11"/>
      <c r="N91" s="9"/>
      <c r="O91" s="9" t="str">
        <f t="shared" ca="1" si="8"/>
        <v>N/A</v>
      </c>
      <c r="P91" s="10"/>
      <c r="Q91" s="11"/>
      <c r="R91" s="11"/>
      <c r="S91" s="11"/>
      <c r="T91" s="9"/>
      <c r="U91" s="9" t="str">
        <f t="shared" ca="1" si="9"/>
        <v>N/A</v>
      </c>
      <c r="V91" s="10"/>
      <c r="W91" s="11"/>
      <c r="X91" s="9"/>
      <c r="Y91" s="9"/>
      <c r="Z91" s="9"/>
      <c r="AA91" s="10"/>
      <c r="AB91" s="10"/>
      <c r="AC91" s="11"/>
    </row>
    <row r="92" spans="2:29" ht="15" customHeight="1">
      <c r="B92" s="9" t="str">
        <f t="shared" si="5"/>
        <v/>
      </c>
      <c r="C92" s="11"/>
      <c r="D92" s="9"/>
      <c r="E92" s="9"/>
      <c r="F92" s="10"/>
      <c r="G92" s="11"/>
      <c r="H92" s="36" t="str">
        <f t="shared" ca="1" si="6"/>
        <v>N/A</v>
      </c>
      <c r="I92" s="10"/>
      <c r="J92" s="9"/>
      <c r="K92" s="36" t="str">
        <f t="shared" ca="1" si="7"/>
        <v>N/A</v>
      </c>
      <c r="L92" s="10"/>
      <c r="M92" s="11"/>
      <c r="N92" s="9"/>
      <c r="O92" s="9" t="str">
        <f t="shared" ca="1" si="8"/>
        <v>N/A</v>
      </c>
      <c r="P92" s="10"/>
      <c r="Q92" s="11"/>
      <c r="R92" s="11"/>
      <c r="S92" s="11"/>
      <c r="T92" s="9"/>
      <c r="U92" s="9" t="str">
        <f t="shared" ca="1" si="9"/>
        <v>N/A</v>
      </c>
      <c r="V92" s="10"/>
      <c r="W92" s="11"/>
      <c r="X92" s="9"/>
      <c r="Y92" s="9"/>
      <c r="Z92" s="9"/>
      <c r="AA92" s="10"/>
      <c r="AB92" s="10"/>
      <c r="AC92" s="11"/>
    </row>
    <row r="93" spans="2:29" ht="15" customHeight="1">
      <c r="B93" s="9" t="str">
        <f t="shared" si="5"/>
        <v/>
      </c>
      <c r="C93" s="11"/>
      <c r="D93" s="9"/>
      <c r="E93" s="9"/>
      <c r="F93" s="10"/>
      <c r="G93" s="11"/>
      <c r="H93" s="36" t="str">
        <f t="shared" ca="1" si="6"/>
        <v>N/A</v>
      </c>
      <c r="I93" s="10"/>
      <c r="J93" s="9"/>
      <c r="K93" s="36" t="str">
        <f t="shared" ca="1" si="7"/>
        <v>N/A</v>
      </c>
      <c r="L93" s="10"/>
      <c r="M93" s="11"/>
      <c r="N93" s="9"/>
      <c r="O93" s="9" t="str">
        <f t="shared" ca="1" si="8"/>
        <v>N/A</v>
      </c>
      <c r="P93" s="10"/>
      <c r="Q93" s="11"/>
      <c r="R93" s="11"/>
      <c r="S93" s="11"/>
      <c r="T93" s="9"/>
      <c r="U93" s="9" t="str">
        <f t="shared" ca="1" si="9"/>
        <v>N/A</v>
      </c>
      <c r="V93" s="10"/>
      <c r="W93" s="11"/>
      <c r="X93" s="9"/>
      <c r="Y93" s="9"/>
      <c r="Z93" s="9"/>
      <c r="AA93" s="10"/>
      <c r="AB93" s="10"/>
      <c r="AC93" s="11"/>
    </row>
    <row r="94" spans="2:29" ht="15" customHeight="1">
      <c r="B94" s="9" t="str">
        <f t="shared" si="5"/>
        <v/>
      </c>
      <c r="C94" s="11"/>
      <c r="D94" s="9"/>
      <c r="E94" s="9"/>
      <c r="F94" s="10"/>
      <c r="G94" s="11"/>
      <c r="H94" s="36" t="str">
        <f t="shared" ca="1" si="6"/>
        <v>N/A</v>
      </c>
      <c r="I94" s="10"/>
      <c r="J94" s="9"/>
      <c r="K94" s="36" t="str">
        <f t="shared" ca="1" si="7"/>
        <v>N/A</v>
      </c>
      <c r="L94" s="10"/>
      <c r="M94" s="11"/>
      <c r="N94" s="9"/>
      <c r="O94" s="9" t="str">
        <f t="shared" ca="1" si="8"/>
        <v>N/A</v>
      </c>
      <c r="P94" s="10"/>
      <c r="Q94" s="11"/>
      <c r="R94" s="11"/>
      <c r="S94" s="11"/>
      <c r="T94" s="9"/>
      <c r="U94" s="9" t="str">
        <f t="shared" ca="1" si="9"/>
        <v>N/A</v>
      </c>
      <c r="V94" s="10"/>
      <c r="W94" s="11"/>
      <c r="X94" s="9"/>
      <c r="Y94" s="9"/>
      <c r="Z94" s="9"/>
      <c r="AA94" s="10"/>
      <c r="AB94" s="10"/>
      <c r="AC94" s="11"/>
    </row>
    <row r="95" spans="2:29" ht="15" customHeight="1">
      <c r="B95" s="9" t="str">
        <f t="shared" si="5"/>
        <v/>
      </c>
      <c r="C95" s="11"/>
      <c r="D95" s="9"/>
      <c r="E95" s="9"/>
      <c r="F95" s="10"/>
      <c r="G95" s="11"/>
      <c r="H95" s="36" t="str">
        <f t="shared" ca="1" si="6"/>
        <v>N/A</v>
      </c>
      <c r="I95" s="10"/>
      <c r="J95" s="9"/>
      <c r="K95" s="36" t="str">
        <f t="shared" ca="1" si="7"/>
        <v>N/A</v>
      </c>
      <c r="L95" s="10"/>
      <c r="M95" s="11"/>
      <c r="N95" s="9"/>
      <c r="O95" s="9" t="str">
        <f t="shared" ca="1" si="8"/>
        <v>N/A</v>
      </c>
      <c r="P95" s="10"/>
      <c r="Q95" s="11"/>
      <c r="R95" s="11"/>
      <c r="S95" s="11"/>
      <c r="T95" s="9"/>
      <c r="U95" s="9" t="str">
        <f t="shared" ca="1" si="9"/>
        <v>N/A</v>
      </c>
      <c r="V95" s="10"/>
      <c r="W95" s="11"/>
      <c r="X95" s="9"/>
      <c r="Y95" s="9"/>
      <c r="Z95" s="9"/>
      <c r="AA95" s="10"/>
      <c r="AB95" s="10"/>
      <c r="AC95" s="11"/>
    </row>
    <row r="96" spans="2:29" ht="15" customHeight="1">
      <c r="B96" s="9" t="str">
        <f t="shared" si="5"/>
        <v/>
      </c>
      <c r="C96" s="11"/>
      <c r="D96" s="9"/>
      <c r="E96" s="9"/>
      <c r="F96" s="10"/>
      <c r="G96" s="11"/>
      <c r="H96" s="36" t="str">
        <f t="shared" ca="1" si="6"/>
        <v>N/A</v>
      </c>
      <c r="I96" s="10"/>
      <c r="J96" s="9"/>
      <c r="K96" s="36" t="str">
        <f t="shared" ca="1" si="7"/>
        <v>N/A</v>
      </c>
      <c r="L96" s="10"/>
      <c r="M96" s="11"/>
      <c r="N96" s="9"/>
      <c r="O96" s="9" t="str">
        <f t="shared" ca="1" si="8"/>
        <v>N/A</v>
      </c>
      <c r="P96" s="10"/>
      <c r="Q96" s="11"/>
      <c r="R96" s="11"/>
      <c r="S96" s="11"/>
      <c r="T96" s="9"/>
      <c r="U96" s="9" t="str">
        <f t="shared" ca="1" si="9"/>
        <v>N/A</v>
      </c>
      <c r="V96" s="10"/>
      <c r="W96" s="11"/>
      <c r="X96" s="9"/>
      <c r="Y96" s="9"/>
      <c r="Z96" s="9"/>
      <c r="AA96" s="10"/>
      <c r="AB96" s="10"/>
      <c r="AC96" s="11"/>
    </row>
    <row r="97" spans="2:29" ht="15" customHeight="1">
      <c r="B97" s="9" t="str">
        <f t="shared" si="5"/>
        <v/>
      </c>
      <c r="C97" s="11"/>
      <c r="D97" s="9"/>
      <c r="E97" s="9"/>
      <c r="F97" s="10"/>
      <c r="G97" s="11"/>
      <c r="H97" s="36" t="str">
        <f t="shared" ca="1" si="6"/>
        <v>N/A</v>
      </c>
      <c r="I97" s="10"/>
      <c r="J97" s="9"/>
      <c r="K97" s="36" t="str">
        <f t="shared" ca="1" si="7"/>
        <v>N/A</v>
      </c>
      <c r="L97" s="10"/>
      <c r="M97" s="11"/>
      <c r="N97" s="9"/>
      <c r="O97" s="9" t="str">
        <f t="shared" ca="1" si="8"/>
        <v>N/A</v>
      </c>
      <c r="P97" s="10"/>
      <c r="Q97" s="11"/>
      <c r="R97" s="11"/>
      <c r="S97" s="11"/>
      <c r="T97" s="9"/>
      <c r="U97" s="9" t="str">
        <f t="shared" ca="1" si="9"/>
        <v>N/A</v>
      </c>
      <c r="V97" s="10"/>
      <c r="W97" s="11"/>
      <c r="X97" s="9"/>
      <c r="Y97" s="9"/>
      <c r="Z97" s="9"/>
      <c r="AA97" s="10"/>
      <c r="AB97" s="10"/>
      <c r="AC97" s="11"/>
    </row>
    <row r="98" spans="2:29" ht="15" customHeight="1">
      <c r="B98" s="9" t="str">
        <f t="shared" si="5"/>
        <v/>
      </c>
      <c r="C98" s="11"/>
      <c r="D98" s="9"/>
      <c r="E98" s="9"/>
      <c r="F98" s="10"/>
      <c r="G98" s="11"/>
      <c r="H98" s="36" t="str">
        <f t="shared" ca="1" si="6"/>
        <v>N/A</v>
      </c>
      <c r="I98" s="10"/>
      <c r="J98" s="9"/>
      <c r="K98" s="36" t="str">
        <f t="shared" ca="1" si="7"/>
        <v>N/A</v>
      </c>
      <c r="L98" s="10"/>
      <c r="M98" s="11"/>
      <c r="N98" s="9"/>
      <c r="O98" s="9" t="str">
        <f t="shared" ca="1" si="8"/>
        <v>N/A</v>
      </c>
      <c r="P98" s="10"/>
      <c r="Q98" s="11"/>
      <c r="R98" s="11"/>
      <c r="S98" s="11"/>
      <c r="T98" s="9"/>
      <c r="U98" s="9" t="str">
        <f t="shared" ca="1" si="9"/>
        <v>N/A</v>
      </c>
      <c r="V98" s="10"/>
      <c r="W98" s="11"/>
      <c r="X98" s="9"/>
      <c r="Y98" s="9"/>
      <c r="Z98" s="9"/>
      <c r="AA98" s="10"/>
      <c r="AB98" s="10"/>
      <c r="AC98" s="11"/>
    </row>
    <row r="99" spans="2:29" ht="15" customHeight="1">
      <c r="B99" s="9" t="str">
        <f t="shared" si="5"/>
        <v/>
      </c>
      <c r="C99" s="11"/>
      <c r="D99" s="9"/>
      <c r="E99" s="9"/>
      <c r="F99" s="10"/>
      <c r="G99" s="11"/>
      <c r="H99" s="36" t="str">
        <f t="shared" ca="1" si="6"/>
        <v>N/A</v>
      </c>
      <c r="I99" s="10"/>
      <c r="J99" s="9"/>
      <c r="K99" s="36" t="str">
        <f t="shared" ca="1" si="7"/>
        <v>N/A</v>
      </c>
      <c r="L99" s="10"/>
      <c r="M99" s="11"/>
      <c r="N99" s="9"/>
      <c r="O99" s="9" t="str">
        <f t="shared" ca="1" si="8"/>
        <v>N/A</v>
      </c>
      <c r="P99" s="10"/>
      <c r="Q99" s="11"/>
      <c r="R99" s="11"/>
      <c r="S99" s="11"/>
      <c r="T99" s="9"/>
      <c r="U99" s="9" t="str">
        <f t="shared" ca="1" si="9"/>
        <v>N/A</v>
      </c>
      <c r="V99" s="10"/>
      <c r="W99" s="11"/>
      <c r="X99" s="9"/>
      <c r="Y99" s="9"/>
      <c r="Z99" s="9"/>
      <c r="AA99" s="10"/>
      <c r="AB99" s="10"/>
      <c r="AC99" s="11"/>
    </row>
    <row r="100" spans="2:29" ht="15" customHeight="1">
      <c r="B100" s="9" t="str">
        <f t="shared" si="5"/>
        <v/>
      </c>
      <c r="C100" s="11"/>
      <c r="D100" s="9"/>
      <c r="E100" s="9"/>
      <c r="F100" s="10"/>
      <c r="G100" s="11"/>
      <c r="H100" s="36" t="str">
        <f t="shared" ca="1" si="6"/>
        <v>N/A</v>
      </c>
      <c r="I100" s="10"/>
      <c r="J100" s="9"/>
      <c r="K100" s="36" t="str">
        <f t="shared" ca="1" si="7"/>
        <v>N/A</v>
      </c>
      <c r="L100" s="10"/>
      <c r="M100" s="11"/>
      <c r="N100" s="9"/>
      <c r="O100" s="9" t="str">
        <f t="shared" ca="1" si="8"/>
        <v>N/A</v>
      </c>
      <c r="P100" s="10"/>
      <c r="Q100" s="11"/>
      <c r="R100" s="11"/>
      <c r="S100" s="11"/>
      <c r="T100" s="9"/>
      <c r="U100" s="9" t="str">
        <f t="shared" ca="1" si="9"/>
        <v>N/A</v>
      </c>
      <c r="V100" s="10"/>
      <c r="W100" s="11"/>
      <c r="X100" s="9"/>
      <c r="Y100" s="9"/>
      <c r="Z100" s="9"/>
      <c r="AA100" s="10"/>
      <c r="AB100" s="10"/>
      <c r="AC100" s="11"/>
    </row>
    <row r="101" spans="2:29" ht="15" customHeight="1">
      <c r="B101" s="9" t="str">
        <f t="shared" si="5"/>
        <v/>
      </c>
      <c r="C101" s="11"/>
      <c r="D101" s="9"/>
      <c r="E101" s="9"/>
      <c r="F101" s="10"/>
      <c r="G101" s="11"/>
      <c r="H101" s="36" t="str">
        <f t="shared" ca="1" si="6"/>
        <v>N/A</v>
      </c>
      <c r="I101" s="10"/>
      <c r="J101" s="9"/>
      <c r="K101" s="36" t="str">
        <f t="shared" ca="1" si="7"/>
        <v>N/A</v>
      </c>
      <c r="L101" s="10"/>
      <c r="M101" s="11"/>
      <c r="N101" s="9"/>
      <c r="O101" s="9" t="str">
        <f t="shared" ca="1" si="8"/>
        <v>N/A</v>
      </c>
      <c r="P101" s="10"/>
      <c r="Q101" s="11"/>
      <c r="R101" s="11"/>
      <c r="S101" s="11"/>
      <c r="T101" s="9"/>
      <c r="U101" s="9" t="str">
        <f t="shared" ca="1" si="9"/>
        <v>N/A</v>
      </c>
      <c r="V101" s="10"/>
      <c r="W101" s="11"/>
      <c r="X101" s="9"/>
      <c r="Y101" s="9"/>
      <c r="Z101" s="9"/>
      <c r="AA101" s="10"/>
      <c r="AB101" s="10"/>
      <c r="AC101" s="11"/>
    </row>
    <row r="102" spans="2:29" ht="15" customHeight="1">
      <c r="B102" s="9" t="str">
        <f t="shared" si="5"/>
        <v/>
      </c>
      <c r="C102" s="11"/>
      <c r="D102" s="9"/>
      <c r="E102" s="9"/>
      <c r="F102" s="10"/>
      <c r="G102" s="11"/>
      <c r="H102" s="36" t="str">
        <f t="shared" ca="1" si="6"/>
        <v>N/A</v>
      </c>
      <c r="I102" s="10"/>
      <c r="J102" s="9"/>
      <c r="K102" s="36" t="str">
        <f t="shared" ca="1" si="7"/>
        <v>N/A</v>
      </c>
      <c r="L102" s="10"/>
      <c r="M102" s="11"/>
      <c r="N102" s="9"/>
      <c r="O102" s="9" t="str">
        <f t="shared" ca="1" si="8"/>
        <v>N/A</v>
      </c>
      <c r="P102" s="10"/>
      <c r="Q102" s="11"/>
      <c r="R102" s="11"/>
      <c r="S102" s="11"/>
      <c r="T102" s="9"/>
      <c r="U102" s="9" t="str">
        <f t="shared" ca="1" si="9"/>
        <v>N/A</v>
      </c>
      <c r="V102" s="10"/>
      <c r="W102" s="11"/>
      <c r="X102" s="9"/>
      <c r="Y102" s="9"/>
      <c r="Z102" s="9"/>
      <c r="AA102" s="10"/>
      <c r="AB102" s="10"/>
      <c r="AC102" s="11"/>
    </row>
    <row r="103" spans="2:29" ht="15" customHeight="1">
      <c r="B103" s="9" t="str">
        <f t="shared" si="5"/>
        <v/>
      </c>
      <c r="C103" s="11"/>
      <c r="D103" s="9"/>
      <c r="E103" s="9"/>
      <c r="F103" s="10"/>
      <c r="G103" s="11"/>
      <c r="H103" s="36" t="str">
        <f t="shared" ca="1" si="6"/>
        <v>N/A</v>
      </c>
      <c r="I103" s="10"/>
      <c r="J103" s="9"/>
      <c r="K103" s="36" t="str">
        <f t="shared" ca="1" si="7"/>
        <v>N/A</v>
      </c>
      <c r="L103" s="10"/>
      <c r="M103" s="11"/>
      <c r="N103" s="9"/>
      <c r="O103" s="9" t="str">
        <f t="shared" ca="1" si="8"/>
        <v>N/A</v>
      </c>
      <c r="P103" s="10"/>
      <c r="Q103" s="11"/>
      <c r="R103" s="11"/>
      <c r="S103" s="11"/>
      <c r="T103" s="9"/>
      <c r="U103" s="9" t="str">
        <f t="shared" ca="1" si="9"/>
        <v>N/A</v>
      </c>
      <c r="V103" s="10"/>
      <c r="W103" s="11"/>
      <c r="X103" s="9"/>
      <c r="Y103" s="9"/>
      <c r="Z103" s="9"/>
      <c r="AA103" s="10"/>
      <c r="AB103" s="10"/>
      <c r="AC103" s="11"/>
    </row>
    <row r="104" spans="2:29" ht="15" customHeight="1">
      <c r="B104" s="9" t="str">
        <f t="shared" si="5"/>
        <v/>
      </c>
      <c r="C104" s="11"/>
      <c r="D104" s="9"/>
      <c r="E104" s="9"/>
      <c r="F104" s="10"/>
      <c r="G104" s="11"/>
      <c r="H104" s="36" t="str">
        <f t="shared" ca="1" si="6"/>
        <v>N/A</v>
      </c>
      <c r="I104" s="10"/>
      <c r="J104" s="9"/>
      <c r="K104" s="36" t="str">
        <f t="shared" ca="1" si="7"/>
        <v>N/A</v>
      </c>
      <c r="L104" s="10"/>
      <c r="M104" s="11"/>
      <c r="N104" s="9"/>
      <c r="O104" s="9" t="str">
        <f t="shared" ca="1" si="8"/>
        <v>N/A</v>
      </c>
      <c r="P104" s="10"/>
      <c r="Q104" s="11"/>
      <c r="R104" s="11"/>
      <c r="S104" s="11"/>
      <c r="T104" s="9"/>
      <c r="U104" s="9" t="str">
        <f t="shared" ca="1" si="9"/>
        <v>N/A</v>
      </c>
      <c r="V104" s="10"/>
      <c r="W104" s="11"/>
      <c r="X104" s="9"/>
      <c r="Y104" s="9"/>
      <c r="Z104" s="9"/>
      <c r="AA104" s="10"/>
      <c r="AB104" s="10"/>
      <c r="AC104" s="11"/>
    </row>
    <row r="105" spans="2:29" ht="15" customHeight="1">
      <c r="B105" s="9" t="str">
        <f t="shared" si="5"/>
        <v/>
      </c>
      <c r="C105" s="11"/>
      <c r="D105" s="9"/>
      <c r="E105" s="9"/>
      <c r="F105" s="10"/>
      <c r="G105" s="11"/>
      <c r="H105" s="36" t="str">
        <f t="shared" ca="1" si="6"/>
        <v>N/A</v>
      </c>
      <c r="I105" s="10"/>
      <c r="J105" s="9"/>
      <c r="K105" s="36" t="str">
        <f t="shared" ca="1" si="7"/>
        <v>N/A</v>
      </c>
      <c r="L105" s="10"/>
      <c r="M105" s="11"/>
      <c r="N105" s="9"/>
      <c r="O105" s="9" t="str">
        <f t="shared" ca="1" si="8"/>
        <v>N/A</v>
      </c>
      <c r="P105" s="10"/>
      <c r="Q105" s="11"/>
      <c r="R105" s="11"/>
      <c r="S105" s="11"/>
      <c r="T105" s="9"/>
      <c r="U105" s="9" t="str">
        <f t="shared" ca="1" si="9"/>
        <v>N/A</v>
      </c>
      <c r="V105" s="10"/>
      <c r="W105" s="11"/>
      <c r="X105" s="9"/>
      <c r="Y105" s="9"/>
      <c r="Z105" s="9"/>
      <c r="AA105" s="10"/>
      <c r="AB105" s="10"/>
      <c r="AC105" s="11"/>
    </row>
    <row r="106" spans="2:29" ht="15" customHeight="1">
      <c r="B106" s="9" t="str">
        <f t="shared" si="5"/>
        <v/>
      </c>
      <c r="C106" s="11"/>
      <c r="D106" s="9"/>
      <c r="E106" s="9"/>
      <c r="F106" s="10"/>
      <c r="G106" s="11"/>
      <c r="H106" s="36" t="str">
        <f t="shared" ca="1" si="6"/>
        <v>N/A</v>
      </c>
      <c r="I106" s="10"/>
      <c r="J106" s="9"/>
      <c r="K106" s="36" t="str">
        <f t="shared" ca="1" si="7"/>
        <v>N/A</v>
      </c>
      <c r="L106" s="10"/>
      <c r="M106" s="11"/>
      <c r="N106" s="9"/>
      <c r="O106" s="9" t="str">
        <f t="shared" ca="1" si="8"/>
        <v>N/A</v>
      </c>
      <c r="P106" s="10"/>
      <c r="Q106" s="11"/>
      <c r="R106" s="11"/>
      <c r="S106" s="11"/>
      <c r="T106" s="9"/>
      <c r="U106" s="9" t="str">
        <f t="shared" ca="1" si="9"/>
        <v>N/A</v>
      </c>
      <c r="V106" s="10"/>
      <c r="W106" s="11"/>
      <c r="X106" s="9"/>
      <c r="Y106" s="9"/>
      <c r="Z106" s="9"/>
      <c r="AA106" s="10"/>
      <c r="AB106" s="10"/>
      <c r="AC106" s="11"/>
    </row>
    <row r="107" spans="2:29" ht="15" customHeight="1">
      <c r="B107" s="9" t="str">
        <f t="shared" si="5"/>
        <v/>
      </c>
      <c r="C107" s="11"/>
      <c r="D107" s="9"/>
      <c r="E107" s="9"/>
      <c r="F107" s="10"/>
      <c r="G107" s="11"/>
      <c r="H107" s="36" t="str">
        <f t="shared" ca="1" si="6"/>
        <v>N/A</v>
      </c>
      <c r="I107" s="10"/>
      <c r="J107" s="9"/>
      <c r="K107" s="36" t="str">
        <f t="shared" ca="1" si="7"/>
        <v>N/A</v>
      </c>
      <c r="L107" s="10"/>
      <c r="M107" s="11"/>
      <c r="N107" s="9"/>
      <c r="O107" s="9" t="str">
        <f t="shared" ca="1" si="8"/>
        <v>N/A</v>
      </c>
      <c r="P107" s="10"/>
      <c r="Q107" s="11"/>
      <c r="R107" s="11"/>
      <c r="S107" s="11"/>
      <c r="T107" s="9"/>
      <c r="U107" s="9" t="str">
        <f t="shared" ca="1" si="9"/>
        <v>N/A</v>
      </c>
      <c r="V107" s="10"/>
      <c r="W107" s="11"/>
      <c r="X107" s="9"/>
      <c r="Y107" s="9"/>
      <c r="Z107" s="9"/>
      <c r="AA107" s="10"/>
      <c r="AB107" s="10"/>
      <c r="AC107" s="11"/>
    </row>
    <row r="108" spans="2:29" ht="15" customHeight="1">
      <c r="B108" s="9" t="str">
        <f t="shared" si="5"/>
        <v/>
      </c>
      <c r="C108" s="11"/>
      <c r="D108" s="9"/>
      <c r="E108" s="9"/>
      <c r="F108" s="10"/>
      <c r="G108" s="11"/>
      <c r="H108" s="36" t="str">
        <f t="shared" ca="1" si="6"/>
        <v>N/A</v>
      </c>
      <c r="I108" s="10"/>
      <c r="J108" s="9"/>
      <c r="K108" s="36" t="str">
        <f t="shared" ca="1" si="7"/>
        <v>N/A</v>
      </c>
      <c r="L108" s="10"/>
      <c r="M108" s="11"/>
      <c r="N108" s="9"/>
      <c r="O108" s="9" t="str">
        <f t="shared" ca="1" si="8"/>
        <v>N/A</v>
      </c>
      <c r="P108" s="10"/>
      <c r="Q108" s="11"/>
      <c r="R108" s="11"/>
      <c r="S108" s="11"/>
      <c r="T108" s="9"/>
      <c r="U108" s="9" t="str">
        <f t="shared" ca="1" si="9"/>
        <v>N/A</v>
      </c>
      <c r="V108" s="10"/>
      <c r="W108" s="11"/>
      <c r="X108" s="9"/>
      <c r="Y108" s="9"/>
      <c r="Z108" s="9"/>
      <c r="AA108" s="10"/>
      <c r="AB108" s="10"/>
      <c r="AC108" s="11"/>
    </row>
    <row r="109" spans="2:29" ht="15" customHeight="1">
      <c r="B109" s="9" t="str">
        <f t="shared" si="5"/>
        <v/>
      </c>
      <c r="C109" s="11"/>
      <c r="D109" s="9"/>
      <c r="E109" s="9"/>
      <c r="F109" s="10"/>
      <c r="G109" s="11"/>
      <c r="H109" s="36" t="str">
        <f t="shared" ca="1" si="6"/>
        <v>N/A</v>
      </c>
      <c r="I109" s="10"/>
      <c r="J109" s="9"/>
      <c r="K109" s="36" t="str">
        <f t="shared" ca="1" si="7"/>
        <v>N/A</v>
      </c>
      <c r="L109" s="10"/>
      <c r="M109" s="11"/>
      <c r="N109" s="9"/>
      <c r="O109" s="9" t="str">
        <f t="shared" ca="1" si="8"/>
        <v>N/A</v>
      </c>
      <c r="P109" s="10"/>
      <c r="Q109" s="11"/>
      <c r="R109" s="11"/>
      <c r="S109" s="11"/>
      <c r="T109" s="9"/>
      <c r="U109" s="9" t="str">
        <f t="shared" ca="1" si="9"/>
        <v>N/A</v>
      </c>
      <c r="V109" s="10"/>
      <c r="W109" s="11"/>
      <c r="X109" s="9"/>
      <c r="Y109" s="9"/>
      <c r="Z109" s="9"/>
      <c r="AA109" s="10"/>
      <c r="AB109" s="10"/>
      <c r="AC109" s="11"/>
    </row>
    <row r="110" spans="2:29" ht="15" customHeight="1">
      <c r="B110" s="9" t="str">
        <f t="shared" si="5"/>
        <v/>
      </c>
      <c r="C110" s="11"/>
      <c r="D110" s="9"/>
      <c r="E110" s="9"/>
      <c r="F110" s="10"/>
      <c r="G110" s="11"/>
      <c r="H110" s="36" t="str">
        <f t="shared" ca="1" si="6"/>
        <v>N/A</v>
      </c>
      <c r="I110" s="10"/>
      <c r="J110" s="9"/>
      <c r="K110" s="36" t="str">
        <f t="shared" ca="1" si="7"/>
        <v>N/A</v>
      </c>
      <c r="L110" s="10"/>
      <c r="M110" s="11"/>
      <c r="N110" s="9"/>
      <c r="O110" s="9" t="str">
        <f t="shared" ca="1" si="8"/>
        <v>N/A</v>
      </c>
      <c r="P110" s="10"/>
      <c r="Q110" s="11"/>
      <c r="R110" s="11"/>
      <c r="S110" s="11"/>
      <c r="T110" s="9"/>
      <c r="U110" s="9" t="str">
        <f t="shared" ca="1" si="9"/>
        <v>N/A</v>
      </c>
      <c r="V110" s="10"/>
      <c r="W110" s="11"/>
      <c r="X110" s="9"/>
      <c r="Y110" s="9"/>
      <c r="Z110" s="9"/>
      <c r="AA110" s="10"/>
      <c r="AB110" s="10"/>
      <c r="AC110" s="11"/>
    </row>
    <row r="111" spans="2:29" ht="15" customHeight="1">
      <c r="B111" s="9" t="str">
        <f t="shared" si="5"/>
        <v/>
      </c>
      <c r="C111" s="11"/>
      <c r="D111" s="9"/>
      <c r="E111" s="9"/>
      <c r="F111" s="10"/>
      <c r="G111" s="11"/>
      <c r="H111" s="36" t="str">
        <f t="shared" ca="1" si="6"/>
        <v>N/A</v>
      </c>
      <c r="I111" s="10"/>
      <c r="J111" s="9"/>
      <c r="K111" s="36" t="str">
        <f t="shared" ca="1" si="7"/>
        <v>N/A</v>
      </c>
      <c r="L111" s="10"/>
      <c r="M111" s="11"/>
      <c r="N111" s="9"/>
      <c r="O111" s="9" t="str">
        <f t="shared" ca="1" si="8"/>
        <v>N/A</v>
      </c>
      <c r="P111" s="10"/>
      <c r="Q111" s="11"/>
      <c r="R111" s="11"/>
      <c r="S111" s="11"/>
      <c r="T111" s="9"/>
      <c r="U111" s="9" t="str">
        <f t="shared" ca="1" si="9"/>
        <v>N/A</v>
      </c>
      <c r="V111" s="10"/>
      <c r="W111" s="11"/>
      <c r="X111" s="9"/>
      <c r="Y111" s="9"/>
      <c r="Z111" s="9"/>
      <c r="AA111" s="10"/>
      <c r="AB111" s="10"/>
      <c r="AC111" s="11"/>
    </row>
    <row r="112" spans="2:29" ht="15" customHeight="1">
      <c r="B112" s="9" t="str">
        <f t="shared" si="5"/>
        <v/>
      </c>
      <c r="C112" s="11"/>
      <c r="D112" s="9"/>
      <c r="E112" s="9"/>
      <c r="F112" s="10"/>
      <c r="G112" s="11"/>
      <c r="H112" s="36" t="str">
        <f t="shared" ca="1" si="6"/>
        <v>N/A</v>
      </c>
      <c r="I112" s="10"/>
      <c r="J112" s="9"/>
      <c r="K112" s="36" t="str">
        <f t="shared" ca="1" si="7"/>
        <v>N/A</v>
      </c>
      <c r="L112" s="10"/>
      <c r="M112" s="11"/>
      <c r="N112" s="9"/>
      <c r="O112" s="9" t="str">
        <f t="shared" ca="1" si="8"/>
        <v>N/A</v>
      </c>
      <c r="P112" s="10"/>
      <c r="Q112" s="11"/>
      <c r="R112" s="11"/>
      <c r="S112" s="11"/>
      <c r="T112" s="9"/>
      <c r="U112" s="9" t="str">
        <f t="shared" ca="1" si="9"/>
        <v>N/A</v>
      </c>
      <c r="V112" s="10"/>
      <c r="W112" s="11"/>
      <c r="X112" s="9"/>
      <c r="Y112" s="9"/>
      <c r="Z112" s="9"/>
      <c r="AA112" s="10"/>
      <c r="AB112" s="10"/>
      <c r="AC112" s="11"/>
    </row>
    <row r="113" spans="2:29" ht="15" customHeight="1">
      <c r="B113" s="9" t="str">
        <f t="shared" si="5"/>
        <v/>
      </c>
      <c r="C113" s="11"/>
      <c r="D113" s="9"/>
      <c r="E113" s="9"/>
      <c r="F113" s="10"/>
      <c r="G113" s="11"/>
      <c r="H113" s="36" t="str">
        <f t="shared" ca="1" si="6"/>
        <v>N/A</v>
      </c>
      <c r="I113" s="10"/>
      <c r="J113" s="9"/>
      <c r="K113" s="36" t="str">
        <f t="shared" ca="1" si="7"/>
        <v>N/A</v>
      </c>
      <c r="L113" s="10"/>
      <c r="M113" s="11"/>
      <c r="N113" s="9"/>
      <c r="O113" s="9" t="str">
        <f t="shared" ca="1" si="8"/>
        <v>N/A</v>
      </c>
      <c r="P113" s="10"/>
      <c r="Q113" s="11"/>
      <c r="R113" s="11"/>
      <c r="S113" s="11"/>
      <c r="T113" s="9"/>
      <c r="U113" s="9" t="str">
        <f t="shared" ca="1" si="9"/>
        <v>N/A</v>
      </c>
      <c r="V113" s="10"/>
      <c r="W113" s="11"/>
      <c r="X113" s="9"/>
      <c r="Y113" s="9"/>
      <c r="Z113" s="9"/>
      <c r="AA113" s="10"/>
      <c r="AB113" s="10"/>
      <c r="AC113" s="11"/>
    </row>
    <row r="114" spans="2:29" ht="15" customHeight="1">
      <c r="B114" s="9" t="str">
        <f t="shared" si="5"/>
        <v/>
      </c>
      <c r="C114" s="11"/>
      <c r="D114" s="9"/>
      <c r="E114" s="9"/>
      <c r="F114" s="10"/>
      <c r="G114" s="11"/>
      <c r="H114" s="36" t="str">
        <f t="shared" ca="1" si="6"/>
        <v>N/A</v>
      </c>
      <c r="I114" s="10"/>
      <c r="J114" s="9"/>
      <c r="K114" s="36" t="str">
        <f t="shared" ca="1" si="7"/>
        <v>N/A</v>
      </c>
      <c r="L114" s="10"/>
      <c r="M114" s="11"/>
      <c r="N114" s="9"/>
      <c r="O114" s="9" t="str">
        <f t="shared" ca="1" si="8"/>
        <v>N/A</v>
      </c>
      <c r="P114" s="10"/>
      <c r="Q114" s="11"/>
      <c r="R114" s="11"/>
      <c r="S114" s="11"/>
      <c r="T114" s="9"/>
      <c r="U114" s="9" t="str">
        <f t="shared" ca="1" si="9"/>
        <v>N/A</v>
      </c>
      <c r="V114" s="10"/>
      <c r="W114" s="11"/>
      <c r="X114" s="9"/>
      <c r="Y114" s="9"/>
      <c r="Z114" s="9"/>
      <c r="AA114" s="10"/>
      <c r="AB114" s="10"/>
      <c r="AC114" s="11"/>
    </row>
    <row r="115" spans="2:29" ht="15" customHeight="1">
      <c r="B115" s="9" t="str">
        <f t="shared" si="5"/>
        <v/>
      </c>
      <c r="C115" s="11"/>
      <c r="D115" s="9"/>
      <c r="E115" s="9"/>
      <c r="F115" s="10"/>
      <c r="G115" s="11"/>
      <c r="H115" s="36" t="str">
        <f t="shared" ca="1" si="6"/>
        <v>N/A</v>
      </c>
      <c r="I115" s="10"/>
      <c r="J115" s="9"/>
      <c r="K115" s="36" t="str">
        <f t="shared" ca="1" si="7"/>
        <v>N/A</v>
      </c>
      <c r="L115" s="10"/>
      <c r="M115" s="11"/>
      <c r="N115" s="9"/>
      <c r="O115" s="9" t="str">
        <f t="shared" ca="1" si="8"/>
        <v>N/A</v>
      </c>
      <c r="P115" s="10"/>
      <c r="Q115" s="11"/>
      <c r="R115" s="11"/>
      <c r="S115" s="11"/>
      <c r="T115" s="9"/>
      <c r="U115" s="9" t="str">
        <f t="shared" ca="1" si="9"/>
        <v>N/A</v>
      </c>
      <c r="V115" s="10"/>
      <c r="W115" s="11"/>
      <c r="X115" s="9"/>
      <c r="Y115" s="9"/>
      <c r="Z115" s="9"/>
      <c r="AA115" s="10"/>
      <c r="AB115" s="10"/>
      <c r="AC115" s="11"/>
    </row>
    <row r="116" spans="2:29" ht="15" customHeight="1">
      <c r="B116" s="9" t="str">
        <f t="shared" si="5"/>
        <v/>
      </c>
      <c r="C116" s="11"/>
      <c r="D116" s="9"/>
      <c r="E116" s="9"/>
      <c r="F116" s="10"/>
      <c r="G116" s="11"/>
      <c r="H116" s="36" t="str">
        <f t="shared" ca="1" si="6"/>
        <v>N/A</v>
      </c>
      <c r="I116" s="10"/>
      <c r="J116" s="9"/>
      <c r="K116" s="36" t="str">
        <f t="shared" ca="1" si="7"/>
        <v>N/A</v>
      </c>
      <c r="L116" s="10"/>
      <c r="M116" s="11"/>
      <c r="N116" s="9"/>
      <c r="O116" s="9" t="str">
        <f t="shared" ca="1" si="8"/>
        <v>N/A</v>
      </c>
      <c r="P116" s="10"/>
      <c r="Q116" s="11"/>
      <c r="R116" s="11"/>
      <c r="S116" s="11"/>
      <c r="T116" s="9"/>
      <c r="U116" s="9" t="str">
        <f t="shared" ca="1" si="9"/>
        <v>N/A</v>
      </c>
      <c r="V116" s="10"/>
      <c r="W116" s="11"/>
      <c r="X116" s="9"/>
      <c r="Y116" s="9"/>
      <c r="Z116" s="9"/>
      <c r="AA116" s="10"/>
      <c r="AB116" s="10"/>
      <c r="AC116" s="11"/>
    </row>
    <row r="117" spans="2:29" ht="15" customHeight="1">
      <c r="B117" s="9" t="str">
        <f t="shared" si="5"/>
        <v/>
      </c>
      <c r="C117" s="11"/>
      <c r="D117" s="9"/>
      <c r="E117" s="9"/>
      <c r="F117" s="10"/>
      <c r="G117" s="11"/>
      <c r="H117" s="36" t="str">
        <f t="shared" ca="1" si="6"/>
        <v>N/A</v>
      </c>
      <c r="I117" s="10"/>
      <c r="J117" s="9"/>
      <c r="K117" s="36" t="str">
        <f t="shared" ca="1" si="7"/>
        <v>N/A</v>
      </c>
      <c r="L117" s="10"/>
      <c r="M117" s="11"/>
      <c r="N117" s="9"/>
      <c r="O117" s="9" t="str">
        <f t="shared" ca="1" si="8"/>
        <v>N/A</v>
      </c>
      <c r="P117" s="10"/>
      <c r="Q117" s="11"/>
      <c r="R117" s="11"/>
      <c r="S117" s="11"/>
      <c r="T117" s="9"/>
      <c r="U117" s="9" t="str">
        <f t="shared" ca="1" si="9"/>
        <v>N/A</v>
      </c>
      <c r="V117" s="10"/>
      <c r="W117" s="11"/>
      <c r="X117" s="9"/>
      <c r="Y117" s="9"/>
      <c r="Z117" s="9"/>
      <c r="AA117" s="10"/>
      <c r="AB117" s="10"/>
      <c r="AC117" s="11"/>
    </row>
    <row r="118" spans="2:29" ht="15" customHeight="1">
      <c r="B118" s="9" t="str">
        <f t="shared" si="5"/>
        <v/>
      </c>
      <c r="C118" s="11"/>
      <c r="D118" s="9"/>
      <c r="E118" s="9"/>
      <c r="F118" s="10"/>
      <c r="G118" s="11"/>
      <c r="H118" s="36" t="str">
        <f t="shared" ca="1" si="6"/>
        <v>N/A</v>
      </c>
      <c r="I118" s="10"/>
      <c r="J118" s="9"/>
      <c r="K118" s="36" t="str">
        <f t="shared" ca="1" si="7"/>
        <v>N/A</v>
      </c>
      <c r="L118" s="10"/>
      <c r="M118" s="11"/>
      <c r="N118" s="9"/>
      <c r="O118" s="9" t="str">
        <f t="shared" ca="1" si="8"/>
        <v>N/A</v>
      </c>
      <c r="P118" s="10"/>
      <c r="Q118" s="11"/>
      <c r="R118" s="11"/>
      <c r="S118" s="11"/>
      <c r="T118" s="9"/>
      <c r="U118" s="9" t="str">
        <f t="shared" ca="1" si="9"/>
        <v>N/A</v>
      </c>
      <c r="V118" s="10"/>
      <c r="W118" s="11"/>
      <c r="X118" s="9"/>
      <c r="Y118" s="9"/>
      <c r="Z118" s="9"/>
      <c r="AA118" s="10"/>
      <c r="AB118" s="10"/>
      <c r="AC118" s="11"/>
    </row>
    <row r="119" spans="2:29" ht="15" customHeight="1">
      <c r="B119" s="9" t="str">
        <f t="shared" si="5"/>
        <v/>
      </c>
      <c r="C119" s="11"/>
      <c r="D119" s="9"/>
      <c r="E119" s="9"/>
      <c r="F119" s="10"/>
      <c r="G119" s="11"/>
      <c r="H119" s="36" t="str">
        <f t="shared" ca="1" si="6"/>
        <v>N/A</v>
      </c>
      <c r="I119" s="10"/>
      <c r="J119" s="9"/>
      <c r="K119" s="36" t="str">
        <f t="shared" ca="1" si="7"/>
        <v>N/A</v>
      </c>
      <c r="L119" s="10"/>
      <c r="M119" s="11"/>
      <c r="N119" s="9"/>
      <c r="O119" s="9" t="str">
        <f t="shared" ca="1" si="8"/>
        <v>N/A</v>
      </c>
      <c r="P119" s="10"/>
      <c r="Q119" s="11"/>
      <c r="R119" s="11"/>
      <c r="S119" s="11"/>
      <c r="T119" s="9"/>
      <c r="U119" s="9" t="str">
        <f t="shared" ca="1" si="9"/>
        <v>N/A</v>
      </c>
      <c r="V119" s="10"/>
      <c r="W119" s="11"/>
      <c r="X119" s="9"/>
      <c r="Y119" s="9"/>
      <c r="Z119" s="9"/>
      <c r="AA119" s="10"/>
      <c r="AB119" s="10"/>
      <c r="AC119" s="11"/>
    </row>
    <row r="120" spans="2:29" ht="15" customHeight="1">
      <c r="B120" s="9" t="str">
        <f t="shared" si="5"/>
        <v/>
      </c>
      <c r="C120" s="11"/>
      <c r="D120" s="9"/>
      <c r="E120" s="9"/>
      <c r="F120" s="10"/>
      <c r="G120" s="11"/>
      <c r="H120" s="36" t="str">
        <f t="shared" ca="1" si="6"/>
        <v>N/A</v>
      </c>
      <c r="I120" s="10"/>
      <c r="J120" s="9"/>
      <c r="K120" s="36" t="str">
        <f t="shared" ca="1" si="7"/>
        <v>N/A</v>
      </c>
      <c r="L120" s="10"/>
      <c r="M120" s="11"/>
      <c r="N120" s="9"/>
      <c r="O120" s="9" t="str">
        <f t="shared" ca="1" si="8"/>
        <v>N/A</v>
      </c>
      <c r="P120" s="10"/>
      <c r="Q120" s="11"/>
      <c r="R120" s="11"/>
      <c r="S120" s="11"/>
      <c r="T120" s="9"/>
      <c r="U120" s="9" t="str">
        <f t="shared" ca="1" si="9"/>
        <v>N/A</v>
      </c>
      <c r="V120" s="10"/>
      <c r="W120" s="11"/>
      <c r="X120" s="9"/>
      <c r="Y120" s="9"/>
      <c r="Z120" s="9"/>
      <c r="AA120" s="10"/>
      <c r="AB120" s="10"/>
      <c r="AC120" s="11"/>
    </row>
    <row r="121" spans="2:29" ht="15" customHeight="1">
      <c r="B121" s="9" t="str">
        <f t="shared" si="5"/>
        <v/>
      </c>
      <c r="C121" s="11"/>
      <c r="D121" s="9"/>
      <c r="E121" s="9"/>
      <c r="F121" s="10"/>
      <c r="G121" s="11"/>
      <c r="H121" s="36" t="str">
        <f t="shared" ca="1" si="6"/>
        <v>N/A</v>
      </c>
      <c r="I121" s="10"/>
      <c r="J121" s="9"/>
      <c r="K121" s="36" t="str">
        <f t="shared" ca="1" si="7"/>
        <v>N/A</v>
      </c>
      <c r="L121" s="10"/>
      <c r="M121" s="11"/>
      <c r="N121" s="9"/>
      <c r="O121" s="9" t="str">
        <f t="shared" ca="1" si="8"/>
        <v>N/A</v>
      </c>
      <c r="P121" s="10"/>
      <c r="Q121" s="11"/>
      <c r="R121" s="11"/>
      <c r="S121" s="11"/>
      <c r="T121" s="9"/>
      <c r="U121" s="9" t="str">
        <f t="shared" ca="1" si="9"/>
        <v>N/A</v>
      </c>
      <c r="V121" s="10"/>
      <c r="W121" s="11"/>
      <c r="X121" s="9"/>
      <c r="Y121" s="9"/>
      <c r="Z121" s="9"/>
      <c r="AA121" s="10"/>
      <c r="AB121" s="10"/>
      <c r="AC121" s="11"/>
    </row>
    <row r="122" spans="2:29" ht="15" customHeight="1">
      <c r="B122" s="9" t="str">
        <f t="shared" si="5"/>
        <v/>
      </c>
      <c r="C122" s="11"/>
      <c r="D122" s="9"/>
      <c r="E122" s="9"/>
      <c r="F122" s="10"/>
      <c r="G122" s="11"/>
      <c r="H122" s="36" t="str">
        <f t="shared" ca="1" si="6"/>
        <v>N/A</v>
      </c>
      <c r="I122" s="10"/>
      <c r="J122" s="9"/>
      <c r="K122" s="36" t="str">
        <f t="shared" ca="1" si="7"/>
        <v>N/A</v>
      </c>
      <c r="L122" s="10"/>
      <c r="M122" s="11"/>
      <c r="N122" s="9"/>
      <c r="O122" s="9" t="str">
        <f t="shared" ca="1" si="8"/>
        <v>N/A</v>
      </c>
      <c r="P122" s="10"/>
      <c r="Q122" s="11"/>
      <c r="R122" s="11"/>
      <c r="S122" s="11"/>
      <c r="T122" s="9"/>
      <c r="U122" s="9" t="str">
        <f t="shared" ca="1" si="9"/>
        <v>N/A</v>
      </c>
      <c r="V122" s="10"/>
      <c r="W122" s="11"/>
      <c r="X122" s="9"/>
      <c r="Y122" s="9"/>
      <c r="Z122" s="9"/>
      <c r="AA122" s="10"/>
      <c r="AB122" s="10"/>
      <c r="AC122" s="11"/>
    </row>
    <row r="123" spans="2:29" ht="15" customHeight="1">
      <c r="B123" s="9" t="str">
        <f t="shared" si="5"/>
        <v/>
      </c>
      <c r="C123" s="11"/>
      <c r="D123" s="9"/>
      <c r="E123" s="9"/>
      <c r="F123" s="10"/>
      <c r="G123" s="11"/>
      <c r="H123" s="36" t="str">
        <f t="shared" ca="1" si="6"/>
        <v>N/A</v>
      </c>
      <c r="I123" s="10"/>
      <c r="J123" s="9"/>
      <c r="K123" s="36" t="str">
        <f t="shared" ca="1" si="7"/>
        <v>N/A</v>
      </c>
      <c r="L123" s="10"/>
      <c r="M123" s="11"/>
      <c r="N123" s="9"/>
      <c r="O123" s="9" t="str">
        <f t="shared" ca="1" si="8"/>
        <v>N/A</v>
      </c>
      <c r="P123" s="10"/>
      <c r="Q123" s="11"/>
      <c r="R123" s="11"/>
      <c r="S123" s="11"/>
      <c r="T123" s="9"/>
      <c r="U123" s="9" t="str">
        <f t="shared" ca="1" si="9"/>
        <v>N/A</v>
      </c>
      <c r="V123" s="10"/>
      <c r="W123" s="11"/>
      <c r="X123" s="9"/>
      <c r="Y123" s="9"/>
      <c r="Z123" s="9"/>
      <c r="AA123" s="10"/>
      <c r="AB123" s="10"/>
      <c r="AC123" s="11"/>
    </row>
    <row r="124" spans="2:29" ht="15" customHeight="1">
      <c r="B124" s="9" t="str">
        <f t="shared" si="5"/>
        <v/>
      </c>
      <c r="C124" s="11"/>
      <c r="D124" s="9"/>
      <c r="E124" s="9"/>
      <c r="F124" s="10"/>
      <c r="G124" s="11"/>
      <c r="H124" s="36" t="str">
        <f t="shared" ca="1" si="6"/>
        <v>N/A</v>
      </c>
      <c r="I124" s="10"/>
      <c r="J124" s="9"/>
      <c r="K124" s="36" t="str">
        <f t="shared" ca="1" si="7"/>
        <v>N/A</v>
      </c>
      <c r="L124" s="10"/>
      <c r="M124" s="11"/>
      <c r="N124" s="9"/>
      <c r="O124" s="9" t="str">
        <f t="shared" ca="1" si="8"/>
        <v>N/A</v>
      </c>
      <c r="P124" s="10"/>
      <c r="Q124" s="11"/>
      <c r="R124" s="11"/>
      <c r="S124" s="11"/>
      <c r="T124" s="9"/>
      <c r="U124" s="9" t="str">
        <f t="shared" ca="1" si="9"/>
        <v>N/A</v>
      </c>
      <c r="V124" s="10"/>
      <c r="W124" s="11"/>
      <c r="X124" s="9"/>
      <c r="Y124" s="9"/>
      <c r="Z124" s="9"/>
      <c r="AA124" s="10"/>
      <c r="AB124" s="10"/>
      <c r="AC124" s="11"/>
    </row>
    <row r="125" spans="2:29" ht="15" customHeight="1">
      <c r="B125" s="9" t="str">
        <f t="shared" si="5"/>
        <v/>
      </c>
      <c r="C125" s="11"/>
      <c r="D125" s="9"/>
      <c r="E125" s="9"/>
      <c r="F125" s="10"/>
      <c r="G125" s="11"/>
      <c r="H125" s="36" t="str">
        <f t="shared" ca="1" si="6"/>
        <v>N/A</v>
      </c>
      <c r="I125" s="10"/>
      <c r="J125" s="9"/>
      <c r="K125" s="36" t="str">
        <f t="shared" ca="1" si="7"/>
        <v>N/A</v>
      </c>
      <c r="L125" s="10"/>
      <c r="M125" s="11"/>
      <c r="N125" s="9"/>
      <c r="O125" s="9" t="str">
        <f t="shared" ca="1" si="8"/>
        <v>N/A</v>
      </c>
      <c r="P125" s="10"/>
      <c r="Q125" s="11"/>
      <c r="R125" s="11"/>
      <c r="S125" s="11"/>
      <c r="T125" s="9"/>
      <c r="U125" s="9" t="str">
        <f t="shared" ca="1" si="9"/>
        <v>N/A</v>
      </c>
      <c r="V125" s="10"/>
      <c r="W125" s="11"/>
      <c r="X125" s="9"/>
      <c r="Y125" s="9"/>
      <c r="Z125" s="9"/>
      <c r="AA125" s="10"/>
      <c r="AB125" s="10"/>
      <c r="AC125" s="11"/>
    </row>
    <row r="126" spans="2:29" ht="15" customHeight="1">
      <c r="B126" s="9" t="str">
        <f t="shared" si="5"/>
        <v/>
      </c>
      <c r="C126" s="11"/>
      <c r="D126" s="9"/>
      <c r="E126" s="9"/>
      <c r="F126" s="10"/>
      <c r="G126" s="11"/>
      <c r="H126" s="36" t="str">
        <f t="shared" ca="1" si="6"/>
        <v>N/A</v>
      </c>
      <c r="I126" s="10"/>
      <c r="J126" s="9"/>
      <c r="K126" s="36" t="str">
        <f t="shared" ca="1" si="7"/>
        <v>N/A</v>
      </c>
      <c r="L126" s="10"/>
      <c r="M126" s="11"/>
      <c r="N126" s="9"/>
      <c r="O126" s="9" t="str">
        <f t="shared" ca="1" si="8"/>
        <v>N/A</v>
      </c>
      <c r="P126" s="10"/>
      <c r="Q126" s="11"/>
      <c r="R126" s="11"/>
      <c r="S126" s="11"/>
      <c r="T126" s="9"/>
      <c r="U126" s="9" t="str">
        <f t="shared" ca="1" si="9"/>
        <v>N/A</v>
      </c>
      <c r="V126" s="10"/>
      <c r="W126" s="11"/>
      <c r="X126" s="9"/>
      <c r="Y126" s="9"/>
      <c r="Z126" s="9"/>
      <c r="AA126" s="10"/>
      <c r="AB126" s="10"/>
      <c r="AC126" s="11"/>
    </row>
    <row r="127" spans="2:29" ht="15" customHeight="1">
      <c r="B127" s="9" t="str">
        <f t="shared" si="5"/>
        <v/>
      </c>
      <c r="C127" s="11"/>
      <c r="D127" s="9"/>
      <c r="E127" s="9"/>
      <c r="F127" s="10"/>
      <c r="G127" s="11"/>
      <c r="H127" s="36" t="str">
        <f t="shared" ca="1" si="6"/>
        <v>N/A</v>
      </c>
      <c r="I127" s="10"/>
      <c r="J127" s="9"/>
      <c r="K127" s="36" t="str">
        <f t="shared" ca="1" si="7"/>
        <v>N/A</v>
      </c>
      <c r="L127" s="10"/>
      <c r="M127" s="11"/>
      <c r="N127" s="9"/>
      <c r="O127" s="9" t="str">
        <f t="shared" ca="1" si="8"/>
        <v>N/A</v>
      </c>
      <c r="P127" s="10"/>
      <c r="Q127" s="11"/>
      <c r="R127" s="11"/>
      <c r="S127" s="11"/>
      <c r="T127" s="9"/>
      <c r="U127" s="9" t="str">
        <f t="shared" ca="1" si="9"/>
        <v>N/A</v>
      </c>
      <c r="V127" s="10"/>
      <c r="W127" s="11"/>
      <c r="X127" s="9"/>
      <c r="Y127" s="9"/>
      <c r="Z127" s="9"/>
      <c r="AA127" s="10"/>
      <c r="AB127" s="10"/>
      <c r="AC127" s="11"/>
    </row>
    <row r="128" spans="2:29" ht="15" customHeight="1">
      <c r="B128" s="9" t="str">
        <f t="shared" si="5"/>
        <v/>
      </c>
      <c r="C128" s="11"/>
      <c r="D128" s="9"/>
      <c r="E128" s="9"/>
      <c r="F128" s="10"/>
      <c r="G128" s="11"/>
      <c r="H128" s="36" t="str">
        <f t="shared" ca="1" si="6"/>
        <v>N/A</v>
      </c>
      <c r="I128" s="10"/>
      <c r="J128" s="9"/>
      <c r="K128" s="36" t="str">
        <f t="shared" ca="1" si="7"/>
        <v>N/A</v>
      </c>
      <c r="L128" s="10"/>
      <c r="M128" s="11"/>
      <c r="N128" s="9"/>
      <c r="O128" s="9" t="str">
        <f t="shared" ca="1" si="8"/>
        <v>N/A</v>
      </c>
      <c r="P128" s="10"/>
      <c r="Q128" s="11"/>
      <c r="R128" s="11"/>
      <c r="S128" s="11"/>
      <c r="T128" s="9"/>
      <c r="U128" s="9" t="str">
        <f t="shared" ca="1" si="9"/>
        <v>N/A</v>
      </c>
      <c r="V128" s="10"/>
      <c r="W128" s="11"/>
      <c r="X128" s="9"/>
      <c r="Y128" s="9"/>
      <c r="Z128" s="9"/>
      <c r="AA128" s="10"/>
      <c r="AB128" s="10"/>
      <c r="AC128" s="11"/>
    </row>
    <row r="129" spans="2:29" ht="15" customHeight="1">
      <c r="B129" s="9" t="str">
        <f t="shared" si="5"/>
        <v/>
      </c>
      <c r="C129" s="11"/>
      <c r="D129" s="9"/>
      <c r="E129" s="9"/>
      <c r="F129" s="10"/>
      <c r="G129" s="11"/>
      <c r="H129" s="36" t="str">
        <f t="shared" ca="1" si="6"/>
        <v>N/A</v>
      </c>
      <c r="I129" s="10"/>
      <c r="J129" s="9"/>
      <c r="K129" s="36" t="str">
        <f t="shared" ca="1" si="7"/>
        <v>N/A</v>
      </c>
      <c r="L129" s="10"/>
      <c r="M129" s="11"/>
      <c r="N129" s="9"/>
      <c r="O129" s="9" t="str">
        <f t="shared" ca="1" si="8"/>
        <v>N/A</v>
      </c>
      <c r="P129" s="10"/>
      <c r="Q129" s="11"/>
      <c r="R129" s="11"/>
      <c r="S129" s="11"/>
      <c r="T129" s="9"/>
      <c r="U129" s="9" t="str">
        <f t="shared" ca="1" si="9"/>
        <v>N/A</v>
      </c>
      <c r="V129" s="10"/>
      <c r="W129" s="11"/>
      <c r="X129" s="9"/>
      <c r="Y129" s="9"/>
      <c r="Z129" s="9"/>
      <c r="AA129" s="10"/>
      <c r="AB129" s="10"/>
      <c r="AC129" s="11"/>
    </row>
    <row r="130" spans="2:29" ht="15" customHeight="1">
      <c r="B130" s="9" t="str">
        <f t="shared" si="5"/>
        <v/>
      </c>
      <c r="C130" s="11"/>
      <c r="D130" s="9"/>
      <c r="E130" s="9"/>
      <c r="F130" s="10"/>
      <c r="G130" s="11"/>
      <c r="H130" s="36" t="str">
        <f t="shared" ca="1" si="6"/>
        <v>N/A</v>
      </c>
      <c r="I130" s="10"/>
      <c r="J130" s="9"/>
      <c r="K130" s="36" t="str">
        <f t="shared" ca="1" si="7"/>
        <v>N/A</v>
      </c>
      <c r="L130" s="10"/>
      <c r="M130" s="11"/>
      <c r="N130" s="9"/>
      <c r="O130" s="9" t="str">
        <f t="shared" ca="1" si="8"/>
        <v>N/A</v>
      </c>
      <c r="P130" s="10"/>
      <c r="Q130" s="11"/>
      <c r="R130" s="11"/>
      <c r="S130" s="11"/>
      <c r="T130" s="9"/>
      <c r="U130" s="9" t="str">
        <f t="shared" ca="1" si="9"/>
        <v>N/A</v>
      </c>
      <c r="V130" s="10"/>
      <c r="W130" s="11"/>
      <c r="X130" s="9"/>
      <c r="Y130" s="9"/>
      <c r="Z130" s="9"/>
      <c r="AA130" s="10"/>
      <c r="AB130" s="10"/>
      <c r="AC130" s="11"/>
    </row>
    <row r="131" spans="2:29" ht="15" customHeight="1">
      <c r="B131" s="9" t="str">
        <f t="shared" si="5"/>
        <v/>
      </c>
      <c r="C131" s="11"/>
      <c r="D131" s="9"/>
      <c r="E131" s="9"/>
      <c r="F131" s="10"/>
      <c r="G131" s="11"/>
      <c r="H131" s="36" t="str">
        <f t="shared" ca="1" si="6"/>
        <v>N/A</v>
      </c>
      <c r="I131" s="10"/>
      <c r="J131" s="9"/>
      <c r="K131" s="36" t="str">
        <f t="shared" ca="1" si="7"/>
        <v>N/A</v>
      </c>
      <c r="L131" s="10"/>
      <c r="M131" s="11"/>
      <c r="N131" s="9"/>
      <c r="O131" s="9" t="str">
        <f t="shared" ca="1" si="8"/>
        <v>N/A</v>
      </c>
      <c r="P131" s="10"/>
      <c r="Q131" s="11"/>
      <c r="R131" s="11"/>
      <c r="S131" s="11"/>
      <c r="T131" s="9"/>
      <c r="U131" s="9" t="str">
        <f t="shared" ca="1" si="9"/>
        <v>N/A</v>
      </c>
      <c r="V131" s="10"/>
      <c r="W131" s="11"/>
      <c r="X131" s="9"/>
      <c r="Y131" s="9"/>
      <c r="Z131" s="9"/>
      <c r="AA131" s="10"/>
      <c r="AB131" s="10"/>
      <c r="AC131" s="11"/>
    </row>
    <row r="132" spans="2:29" ht="15" customHeight="1">
      <c r="B132" s="9" t="str">
        <f t="shared" si="5"/>
        <v/>
      </c>
      <c r="C132" s="11"/>
      <c r="D132" s="9"/>
      <c r="E132" s="9"/>
      <c r="F132" s="10"/>
      <c r="G132" s="11"/>
      <c r="H132" s="36" t="str">
        <f t="shared" ca="1" si="6"/>
        <v>N/A</v>
      </c>
      <c r="I132" s="10"/>
      <c r="J132" s="9"/>
      <c r="K132" s="36" t="str">
        <f t="shared" ca="1" si="7"/>
        <v>N/A</v>
      </c>
      <c r="L132" s="10"/>
      <c r="M132" s="11"/>
      <c r="N132" s="9"/>
      <c r="O132" s="9" t="str">
        <f t="shared" ca="1" si="8"/>
        <v>N/A</v>
      </c>
      <c r="P132" s="10"/>
      <c r="Q132" s="11"/>
      <c r="R132" s="11"/>
      <c r="S132" s="11"/>
      <c r="T132" s="9"/>
      <c r="U132" s="9" t="str">
        <f t="shared" ca="1" si="9"/>
        <v>N/A</v>
      </c>
      <c r="V132" s="10"/>
      <c r="W132" s="11"/>
      <c r="X132" s="9"/>
      <c r="Y132" s="9"/>
      <c r="Z132" s="9"/>
      <c r="AA132" s="10"/>
      <c r="AB132" s="10"/>
      <c r="AC132" s="11"/>
    </row>
    <row r="133" spans="2:29" ht="15" customHeight="1">
      <c r="B133" s="9" t="str">
        <f t="shared" si="5"/>
        <v/>
      </c>
      <c r="C133" s="11"/>
      <c r="D133" s="9"/>
      <c r="E133" s="9"/>
      <c r="F133" s="10"/>
      <c r="G133" s="11"/>
      <c r="H133" s="36" t="str">
        <f t="shared" ca="1" si="6"/>
        <v>N/A</v>
      </c>
      <c r="I133" s="10"/>
      <c r="J133" s="9"/>
      <c r="K133" s="36" t="str">
        <f t="shared" ca="1" si="7"/>
        <v>N/A</v>
      </c>
      <c r="L133" s="10"/>
      <c r="M133" s="11"/>
      <c r="N133" s="9"/>
      <c r="O133" s="9" t="str">
        <f t="shared" ca="1" si="8"/>
        <v>N/A</v>
      </c>
      <c r="P133" s="10"/>
      <c r="Q133" s="11"/>
      <c r="R133" s="11"/>
      <c r="S133" s="11"/>
      <c r="T133" s="9"/>
      <c r="U133" s="9" t="str">
        <f t="shared" ca="1" si="9"/>
        <v>N/A</v>
      </c>
      <c r="V133" s="10"/>
      <c r="W133" s="11"/>
      <c r="X133" s="9"/>
      <c r="Y133" s="9"/>
      <c r="Z133" s="9"/>
      <c r="AA133" s="10"/>
      <c r="AB133" s="10"/>
      <c r="AC133" s="11"/>
    </row>
    <row r="134" spans="2:29" ht="15" customHeight="1">
      <c r="B134" s="9" t="str">
        <f t="shared" si="5"/>
        <v/>
      </c>
      <c r="C134" s="11"/>
      <c r="D134" s="9"/>
      <c r="E134" s="9"/>
      <c r="F134" s="10"/>
      <c r="G134" s="11"/>
      <c r="H134" s="36" t="str">
        <f t="shared" ca="1" si="6"/>
        <v>N/A</v>
      </c>
      <c r="I134" s="10"/>
      <c r="J134" s="9"/>
      <c r="K134" s="36" t="str">
        <f t="shared" ca="1" si="7"/>
        <v>N/A</v>
      </c>
      <c r="L134" s="10"/>
      <c r="M134" s="11"/>
      <c r="N134" s="9"/>
      <c r="O134" s="9" t="str">
        <f t="shared" ca="1" si="8"/>
        <v>N/A</v>
      </c>
      <c r="P134" s="10"/>
      <c r="Q134" s="11"/>
      <c r="R134" s="11"/>
      <c r="S134" s="11"/>
      <c r="T134" s="9"/>
      <c r="U134" s="9" t="str">
        <f t="shared" ca="1" si="9"/>
        <v>N/A</v>
      </c>
      <c r="V134" s="10"/>
      <c r="W134" s="11"/>
      <c r="X134" s="9"/>
      <c r="Y134" s="9"/>
      <c r="Z134" s="9"/>
      <c r="AA134" s="10"/>
      <c r="AB134" s="10"/>
      <c r="AC134" s="11"/>
    </row>
    <row r="135" spans="2:29" ht="15" customHeight="1">
      <c r="B135" s="9" t="str">
        <f t="shared" si="5"/>
        <v/>
      </c>
      <c r="C135" s="11"/>
      <c r="D135" s="9"/>
      <c r="E135" s="9"/>
      <c r="F135" s="10"/>
      <c r="G135" s="11"/>
      <c r="H135" s="36" t="str">
        <f t="shared" ca="1" si="6"/>
        <v>N/A</v>
      </c>
      <c r="I135" s="10"/>
      <c r="J135" s="9"/>
      <c r="K135" s="36" t="str">
        <f t="shared" ca="1" si="7"/>
        <v>N/A</v>
      </c>
      <c r="L135" s="10"/>
      <c r="M135" s="11"/>
      <c r="N135" s="9"/>
      <c r="O135" s="9" t="str">
        <f t="shared" ca="1" si="8"/>
        <v>N/A</v>
      </c>
      <c r="P135" s="10"/>
      <c r="Q135" s="11"/>
      <c r="R135" s="11"/>
      <c r="S135" s="11"/>
      <c r="T135" s="9"/>
      <c r="U135" s="9" t="str">
        <f t="shared" ca="1" si="9"/>
        <v>N/A</v>
      </c>
      <c r="V135" s="10"/>
      <c r="W135" s="11"/>
      <c r="X135" s="9"/>
      <c r="Y135" s="9"/>
      <c r="Z135" s="9"/>
      <c r="AA135" s="10"/>
      <c r="AB135" s="10"/>
      <c r="AC135" s="11"/>
    </row>
    <row r="136" spans="2:29" ht="15" customHeight="1">
      <c r="B136" s="9" t="str">
        <f t="shared" ref="B136:B199" si="10">IF(C136="","","FDE-"&amp;TEXT(ROW()-7,"000"))</f>
        <v/>
      </c>
      <c r="C136" s="11"/>
      <c r="D136" s="9"/>
      <c r="E136" s="9"/>
      <c r="F136" s="10"/>
      <c r="G136" s="11"/>
      <c r="H136" s="36" t="str">
        <f t="shared" ca="1" si="6"/>
        <v>N/A</v>
      </c>
      <c r="I136" s="10"/>
      <c r="J136" s="9"/>
      <c r="K136" s="36" t="str">
        <f t="shared" ca="1" si="7"/>
        <v>N/A</v>
      </c>
      <c r="L136" s="10"/>
      <c r="M136" s="11"/>
      <c r="N136" s="9"/>
      <c r="O136" s="9" t="str">
        <f t="shared" ca="1" si="8"/>
        <v>N/A</v>
      </c>
      <c r="P136" s="10"/>
      <c r="Q136" s="11"/>
      <c r="R136" s="11"/>
      <c r="S136" s="11"/>
      <c r="T136" s="9"/>
      <c r="U136" s="9" t="str">
        <f t="shared" ca="1" si="9"/>
        <v>N/A</v>
      </c>
      <c r="V136" s="10"/>
      <c r="W136" s="11"/>
      <c r="X136" s="9"/>
      <c r="Y136" s="9"/>
      <c r="Z136" s="9"/>
      <c r="AA136" s="10"/>
      <c r="AB136" s="10"/>
      <c r="AC136" s="11"/>
    </row>
    <row r="137" spans="2:29" ht="15" customHeight="1">
      <c r="B137" s="9" t="str">
        <f t="shared" si="10"/>
        <v/>
      </c>
      <c r="C137" s="11"/>
      <c r="D137" s="9"/>
      <c r="E137" s="9"/>
      <c r="F137" s="10"/>
      <c r="G137" s="11"/>
      <c r="H137" s="36" t="str">
        <f t="shared" ref="H137:H200" ca="1" si="11">IF(OR(F137="",F137&gt;TODAY()),"N/A",IF(I137="",TODAY()-F137,I137-F137))</f>
        <v>N/A</v>
      </c>
      <c r="I137" s="10"/>
      <c r="J137" s="9"/>
      <c r="K137" s="36" t="str">
        <f t="shared" ref="K137:K200" ca="1" si="12">IF(OR(J137="Fail",I137="",I137&gt;TODAY()),"N/A",IF(L137="",TODAY()-I137,L137-I137))</f>
        <v>N/A</v>
      </c>
      <c r="L137" s="10"/>
      <c r="M137" s="11"/>
      <c r="N137" s="9"/>
      <c r="O137" s="9" t="str">
        <f t="shared" ref="O137:O200" ca="1" si="13">IF(OR(N137="Fail",L137="",L137&gt;TODAY()),"N/A",IF(P137="",TODAY()-L137,P137-L137))</f>
        <v>N/A</v>
      </c>
      <c r="P137" s="10"/>
      <c r="Q137" s="11"/>
      <c r="R137" s="11"/>
      <c r="S137" s="11"/>
      <c r="T137" s="9"/>
      <c r="U137" s="9" t="str">
        <f t="shared" ref="U137:U200" ca="1" si="14">IF(OR(T137="Fail",P137="",P137&gt;TODAY()),"N/A",IF(V137="",TODAY()-P137,V137-P137))</f>
        <v>N/A</v>
      </c>
      <c r="V137" s="10"/>
      <c r="W137" s="11"/>
      <c r="X137" s="9"/>
      <c r="Y137" s="9"/>
      <c r="Z137" s="9"/>
      <c r="AA137" s="10"/>
      <c r="AB137" s="10"/>
      <c r="AC137" s="11"/>
    </row>
    <row r="138" spans="2:29" ht="15" customHeight="1">
      <c r="B138" s="9" t="str">
        <f t="shared" si="10"/>
        <v/>
      </c>
      <c r="C138" s="11"/>
      <c r="D138" s="9"/>
      <c r="E138" s="9"/>
      <c r="F138" s="10"/>
      <c r="G138" s="11"/>
      <c r="H138" s="36" t="str">
        <f t="shared" ca="1" si="11"/>
        <v>N/A</v>
      </c>
      <c r="I138" s="10"/>
      <c r="J138" s="9"/>
      <c r="K138" s="36" t="str">
        <f t="shared" ca="1" si="12"/>
        <v>N/A</v>
      </c>
      <c r="L138" s="10"/>
      <c r="M138" s="11"/>
      <c r="N138" s="9"/>
      <c r="O138" s="9" t="str">
        <f t="shared" ca="1" si="13"/>
        <v>N/A</v>
      </c>
      <c r="P138" s="10"/>
      <c r="Q138" s="11"/>
      <c r="R138" s="11"/>
      <c r="S138" s="11"/>
      <c r="T138" s="9"/>
      <c r="U138" s="9" t="str">
        <f t="shared" ca="1" si="14"/>
        <v>N/A</v>
      </c>
      <c r="V138" s="10"/>
      <c r="W138" s="11"/>
      <c r="X138" s="9"/>
      <c r="Y138" s="9"/>
      <c r="Z138" s="9"/>
      <c r="AA138" s="10"/>
      <c r="AB138" s="10"/>
      <c r="AC138" s="11"/>
    </row>
    <row r="139" spans="2:29" ht="15" customHeight="1">
      <c r="B139" s="9" t="str">
        <f t="shared" si="10"/>
        <v/>
      </c>
      <c r="C139" s="11"/>
      <c r="D139" s="9"/>
      <c r="E139" s="9"/>
      <c r="F139" s="10"/>
      <c r="G139" s="11"/>
      <c r="H139" s="36" t="str">
        <f t="shared" ca="1" si="11"/>
        <v>N/A</v>
      </c>
      <c r="I139" s="10"/>
      <c r="J139" s="9"/>
      <c r="K139" s="36" t="str">
        <f t="shared" ca="1" si="12"/>
        <v>N/A</v>
      </c>
      <c r="L139" s="10"/>
      <c r="M139" s="11"/>
      <c r="N139" s="9"/>
      <c r="O139" s="9" t="str">
        <f t="shared" ca="1" si="13"/>
        <v>N/A</v>
      </c>
      <c r="P139" s="10"/>
      <c r="Q139" s="11"/>
      <c r="R139" s="11"/>
      <c r="S139" s="11"/>
      <c r="T139" s="9"/>
      <c r="U139" s="9" t="str">
        <f t="shared" ca="1" si="14"/>
        <v>N/A</v>
      </c>
      <c r="V139" s="10"/>
      <c r="W139" s="11"/>
      <c r="X139" s="9"/>
      <c r="Y139" s="9"/>
      <c r="Z139" s="9"/>
      <c r="AA139" s="10"/>
      <c r="AB139" s="10"/>
      <c r="AC139" s="11"/>
    </row>
    <row r="140" spans="2:29" ht="15" customHeight="1">
      <c r="B140" s="9" t="str">
        <f t="shared" si="10"/>
        <v/>
      </c>
      <c r="C140" s="11"/>
      <c r="D140" s="9"/>
      <c r="E140" s="9"/>
      <c r="F140" s="10"/>
      <c r="G140" s="11"/>
      <c r="H140" s="36" t="str">
        <f t="shared" ca="1" si="11"/>
        <v>N/A</v>
      </c>
      <c r="I140" s="10"/>
      <c r="J140" s="9"/>
      <c r="K140" s="36" t="str">
        <f t="shared" ca="1" si="12"/>
        <v>N/A</v>
      </c>
      <c r="L140" s="10"/>
      <c r="M140" s="11"/>
      <c r="N140" s="9"/>
      <c r="O140" s="9" t="str">
        <f t="shared" ca="1" si="13"/>
        <v>N/A</v>
      </c>
      <c r="P140" s="10"/>
      <c r="Q140" s="11"/>
      <c r="R140" s="11"/>
      <c r="S140" s="11"/>
      <c r="T140" s="9"/>
      <c r="U140" s="9" t="str">
        <f t="shared" ca="1" si="14"/>
        <v>N/A</v>
      </c>
      <c r="V140" s="10"/>
      <c r="W140" s="11"/>
      <c r="X140" s="9"/>
      <c r="Y140" s="9"/>
      <c r="Z140" s="9"/>
      <c r="AA140" s="10"/>
      <c r="AB140" s="10"/>
      <c r="AC140" s="11"/>
    </row>
    <row r="141" spans="2:29" ht="15" customHeight="1">
      <c r="B141" s="9" t="str">
        <f t="shared" si="10"/>
        <v/>
      </c>
      <c r="C141" s="11"/>
      <c r="D141" s="9"/>
      <c r="E141" s="9"/>
      <c r="F141" s="10"/>
      <c r="G141" s="11"/>
      <c r="H141" s="36" t="str">
        <f t="shared" ca="1" si="11"/>
        <v>N/A</v>
      </c>
      <c r="I141" s="10"/>
      <c r="J141" s="9"/>
      <c r="K141" s="36" t="str">
        <f t="shared" ca="1" si="12"/>
        <v>N/A</v>
      </c>
      <c r="L141" s="10"/>
      <c r="M141" s="11"/>
      <c r="N141" s="9"/>
      <c r="O141" s="9" t="str">
        <f t="shared" ca="1" si="13"/>
        <v>N/A</v>
      </c>
      <c r="P141" s="10"/>
      <c r="Q141" s="11"/>
      <c r="R141" s="11"/>
      <c r="S141" s="11"/>
      <c r="T141" s="9"/>
      <c r="U141" s="9" t="str">
        <f t="shared" ca="1" si="14"/>
        <v>N/A</v>
      </c>
      <c r="V141" s="10"/>
      <c r="W141" s="11"/>
      <c r="X141" s="9"/>
      <c r="Y141" s="9"/>
      <c r="Z141" s="9"/>
      <c r="AA141" s="10"/>
      <c r="AB141" s="10"/>
      <c r="AC141" s="11"/>
    </row>
    <row r="142" spans="2:29" ht="15" customHeight="1">
      <c r="B142" s="9" t="str">
        <f t="shared" si="10"/>
        <v/>
      </c>
      <c r="C142" s="11"/>
      <c r="D142" s="9"/>
      <c r="E142" s="9"/>
      <c r="F142" s="10"/>
      <c r="G142" s="11"/>
      <c r="H142" s="36" t="str">
        <f t="shared" ca="1" si="11"/>
        <v>N/A</v>
      </c>
      <c r="I142" s="10"/>
      <c r="J142" s="9"/>
      <c r="K142" s="36" t="str">
        <f t="shared" ca="1" si="12"/>
        <v>N/A</v>
      </c>
      <c r="L142" s="10"/>
      <c r="M142" s="11"/>
      <c r="N142" s="9"/>
      <c r="O142" s="9" t="str">
        <f t="shared" ca="1" si="13"/>
        <v>N/A</v>
      </c>
      <c r="P142" s="10"/>
      <c r="Q142" s="11"/>
      <c r="R142" s="11"/>
      <c r="S142" s="11"/>
      <c r="T142" s="9"/>
      <c r="U142" s="9" t="str">
        <f t="shared" ca="1" si="14"/>
        <v>N/A</v>
      </c>
      <c r="V142" s="10"/>
      <c r="W142" s="11"/>
      <c r="X142" s="9"/>
      <c r="Y142" s="9"/>
      <c r="Z142" s="9"/>
      <c r="AA142" s="10"/>
      <c r="AB142" s="10"/>
      <c r="AC142" s="11"/>
    </row>
    <row r="143" spans="2:29" ht="15" customHeight="1">
      <c r="B143" s="9" t="str">
        <f t="shared" si="10"/>
        <v/>
      </c>
      <c r="C143" s="11"/>
      <c r="D143" s="9"/>
      <c r="E143" s="9"/>
      <c r="F143" s="10"/>
      <c r="G143" s="11"/>
      <c r="H143" s="36" t="str">
        <f t="shared" ca="1" si="11"/>
        <v>N/A</v>
      </c>
      <c r="I143" s="10"/>
      <c r="J143" s="9"/>
      <c r="K143" s="36" t="str">
        <f t="shared" ca="1" si="12"/>
        <v>N/A</v>
      </c>
      <c r="L143" s="10"/>
      <c r="M143" s="11"/>
      <c r="N143" s="9"/>
      <c r="O143" s="9" t="str">
        <f t="shared" ca="1" si="13"/>
        <v>N/A</v>
      </c>
      <c r="P143" s="10"/>
      <c r="Q143" s="11"/>
      <c r="R143" s="11"/>
      <c r="S143" s="11"/>
      <c r="T143" s="9"/>
      <c r="U143" s="9" t="str">
        <f t="shared" ca="1" si="14"/>
        <v>N/A</v>
      </c>
      <c r="V143" s="10"/>
      <c r="W143" s="11"/>
      <c r="X143" s="9"/>
      <c r="Y143" s="9"/>
      <c r="Z143" s="9"/>
      <c r="AA143" s="10"/>
      <c r="AB143" s="10"/>
      <c r="AC143" s="11"/>
    </row>
    <row r="144" spans="2:29" ht="15" customHeight="1">
      <c r="B144" s="9" t="str">
        <f t="shared" si="10"/>
        <v/>
      </c>
      <c r="C144" s="11"/>
      <c r="D144" s="9"/>
      <c r="E144" s="9"/>
      <c r="F144" s="10"/>
      <c r="G144" s="11"/>
      <c r="H144" s="36" t="str">
        <f t="shared" ca="1" si="11"/>
        <v>N/A</v>
      </c>
      <c r="I144" s="10"/>
      <c r="J144" s="9"/>
      <c r="K144" s="36" t="str">
        <f t="shared" ca="1" si="12"/>
        <v>N/A</v>
      </c>
      <c r="L144" s="10"/>
      <c r="M144" s="11"/>
      <c r="N144" s="9"/>
      <c r="O144" s="9" t="str">
        <f t="shared" ca="1" si="13"/>
        <v>N/A</v>
      </c>
      <c r="P144" s="10"/>
      <c r="Q144" s="11"/>
      <c r="R144" s="11"/>
      <c r="S144" s="11"/>
      <c r="T144" s="9"/>
      <c r="U144" s="9" t="str">
        <f t="shared" ca="1" si="14"/>
        <v>N/A</v>
      </c>
      <c r="V144" s="10"/>
      <c r="W144" s="11"/>
      <c r="X144" s="9"/>
      <c r="Y144" s="9"/>
      <c r="Z144" s="9"/>
      <c r="AA144" s="10"/>
      <c r="AB144" s="10"/>
      <c r="AC144" s="11"/>
    </row>
    <row r="145" spans="2:29" ht="15" customHeight="1">
      <c r="B145" s="9" t="str">
        <f t="shared" si="10"/>
        <v/>
      </c>
      <c r="C145" s="11"/>
      <c r="D145" s="9"/>
      <c r="E145" s="9"/>
      <c r="F145" s="10"/>
      <c r="G145" s="11"/>
      <c r="H145" s="36" t="str">
        <f t="shared" ca="1" si="11"/>
        <v>N/A</v>
      </c>
      <c r="I145" s="10"/>
      <c r="J145" s="9"/>
      <c r="K145" s="36" t="str">
        <f t="shared" ca="1" si="12"/>
        <v>N/A</v>
      </c>
      <c r="L145" s="10"/>
      <c r="M145" s="11"/>
      <c r="N145" s="9"/>
      <c r="O145" s="9" t="str">
        <f t="shared" ca="1" si="13"/>
        <v>N/A</v>
      </c>
      <c r="P145" s="10"/>
      <c r="Q145" s="11"/>
      <c r="R145" s="11"/>
      <c r="S145" s="11"/>
      <c r="T145" s="9"/>
      <c r="U145" s="9" t="str">
        <f t="shared" ca="1" si="14"/>
        <v>N/A</v>
      </c>
      <c r="V145" s="10"/>
      <c r="W145" s="11"/>
      <c r="X145" s="9"/>
      <c r="Y145" s="9"/>
      <c r="Z145" s="9"/>
      <c r="AA145" s="10"/>
      <c r="AB145" s="10"/>
      <c r="AC145" s="11"/>
    </row>
    <row r="146" spans="2:29" ht="15" customHeight="1">
      <c r="B146" s="9" t="str">
        <f t="shared" si="10"/>
        <v/>
      </c>
      <c r="C146" s="11"/>
      <c r="D146" s="9"/>
      <c r="E146" s="9"/>
      <c r="F146" s="10"/>
      <c r="G146" s="11"/>
      <c r="H146" s="36" t="str">
        <f t="shared" ca="1" si="11"/>
        <v>N/A</v>
      </c>
      <c r="I146" s="10"/>
      <c r="J146" s="9"/>
      <c r="K146" s="36" t="str">
        <f t="shared" ca="1" si="12"/>
        <v>N/A</v>
      </c>
      <c r="L146" s="10"/>
      <c r="M146" s="11"/>
      <c r="N146" s="9"/>
      <c r="O146" s="9" t="str">
        <f t="shared" ca="1" si="13"/>
        <v>N/A</v>
      </c>
      <c r="P146" s="10"/>
      <c r="Q146" s="11"/>
      <c r="R146" s="11"/>
      <c r="S146" s="11"/>
      <c r="T146" s="9"/>
      <c r="U146" s="9" t="str">
        <f t="shared" ca="1" si="14"/>
        <v>N/A</v>
      </c>
      <c r="V146" s="10"/>
      <c r="W146" s="11"/>
      <c r="X146" s="9"/>
      <c r="Y146" s="9"/>
      <c r="Z146" s="9"/>
      <c r="AA146" s="10"/>
      <c r="AB146" s="10"/>
      <c r="AC146" s="11"/>
    </row>
    <row r="147" spans="2:29" ht="15" customHeight="1">
      <c r="B147" s="9" t="str">
        <f t="shared" si="10"/>
        <v/>
      </c>
      <c r="C147" s="11"/>
      <c r="D147" s="9"/>
      <c r="E147" s="9"/>
      <c r="F147" s="10"/>
      <c r="G147" s="11"/>
      <c r="H147" s="36" t="str">
        <f t="shared" ca="1" si="11"/>
        <v>N/A</v>
      </c>
      <c r="I147" s="10"/>
      <c r="J147" s="9"/>
      <c r="K147" s="36" t="str">
        <f t="shared" ca="1" si="12"/>
        <v>N/A</v>
      </c>
      <c r="L147" s="10"/>
      <c r="M147" s="11"/>
      <c r="N147" s="9"/>
      <c r="O147" s="9" t="str">
        <f t="shared" ca="1" si="13"/>
        <v>N/A</v>
      </c>
      <c r="P147" s="10"/>
      <c r="Q147" s="11"/>
      <c r="R147" s="11"/>
      <c r="S147" s="11"/>
      <c r="T147" s="9"/>
      <c r="U147" s="9" t="str">
        <f t="shared" ca="1" si="14"/>
        <v>N/A</v>
      </c>
      <c r="V147" s="10"/>
      <c r="W147" s="11"/>
      <c r="X147" s="9"/>
      <c r="Y147" s="9"/>
      <c r="Z147" s="9"/>
      <c r="AA147" s="10"/>
      <c r="AB147" s="10"/>
      <c r="AC147" s="11"/>
    </row>
    <row r="148" spans="2:29" ht="15" customHeight="1">
      <c r="B148" s="9" t="str">
        <f t="shared" si="10"/>
        <v/>
      </c>
      <c r="C148" s="11"/>
      <c r="D148" s="9"/>
      <c r="E148" s="9"/>
      <c r="F148" s="10"/>
      <c r="G148" s="11"/>
      <c r="H148" s="36" t="str">
        <f t="shared" ca="1" si="11"/>
        <v>N/A</v>
      </c>
      <c r="I148" s="10"/>
      <c r="J148" s="9"/>
      <c r="K148" s="36" t="str">
        <f t="shared" ca="1" si="12"/>
        <v>N/A</v>
      </c>
      <c r="L148" s="10"/>
      <c r="M148" s="11"/>
      <c r="N148" s="9"/>
      <c r="O148" s="9" t="str">
        <f t="shared" ca="1" si="13"/>
        <v>N/A</v>
      </c>
      <c r="P148" s="10"/>
      <c r="Q148" s="11"/>
      <c r="R148" s="11"/>
      <c r="S148" s="11"/>
      <c r="T148" s="9"/>
      <c r="U148" s="9" t="str">
        <f t="shared" ca="1" si="14"/>
        <v>N/A</v>
      </c>
      <c r="V148" s="10"/>
      <c r="W148" s="11"/>
      <c r="X148" s="9"/>
      <c r="Y148" s="9"/>
      <c r="Z148" s="9"/>
      <c r="AA148" s="10"/>
      <c r="AB148" s="10"/>
      <c r="AC148" s="11"/>
    </row>
    <row r="149" spans="2:29" ht="15" customHeight="1">
      <c r="B149" s="9" t="str">
        <f t="shared" si="10"/>
        <v/>
      </c>
      <c r="C149" s="11"/>
      <c r="D149" s="9"/>
      <c r="E149" s="9"/>
      <c r="F149" s="10"/>
      <c r="G149" s="11"/>
      <c r="H149" s="36" t="str">
        <f t="shared" ca="1" si="11"/>
        <v>N/A</v>
      </c>
      <c r="I149" s="10"/>
      <c r="J149" s="9"/>
      <c r="K149" s="36" t="str">
        <f t="shared" ca="1" si="12"/>
        <v>N/A</v>
      </c>
      <c r="L149" s="10"/>
      <c r="M149" s="11"/>
      <c r="N149" s="9"/>
      <c r="O149" s="9" t="str">
        <f t="shared" ca="1" si="13"/>
        <v>N/A</v>
      </c>
      <c r="P149" s="10"/>
      <c r="Q149" s="11"/>
      <c r="R149" s="11"/>
      <c r="S149" s="11"/>
      <c r="T149" s="9"/>
      <c r="U149" s="9" t="str">
        <f t="shared" ca="1" si="14"/>
        <v>N/A</v>
      </c>
      <c r="V149" s="10"/>
      <c r="W149" s="11"/>
      <c r="X149" s="9"/>
      <c r="Y149" s="9"/>
      <c r="Z149" s="9"/>
      <c r="AA149" s="10"/>
      <c r="AB149" s="10"/>
      <c r="AC149" s="11"/>
    </row>
    <row r="150" spans="2:29" ht="15" customHeight="1">
      <c r="B150" s="9" t="str">
        <f t="shared" si="10"/>
        <v/>
      </c>
      <c r="C150" s="11"/>
      <c r="D150" s="9"/>
      <c r="E150" s="9"/>
      <c r="F150" s="10"/>
      <c r="G150" s="11"/>
      <c r="H150" s="36" t="str">
        <f t="shared" ca="1" si="11"/>
        <v>N/A</v>
      </c>
      <c r="I150" s="10"/>
      <c r="J150" s="9"/>
      <c r="K150" s="36" t="str">
        <f t="shared" ca="1" si="12"/>
        <v>N/A</v>
      </c>
      <c r="L150" s="10"/>
      <c r="M150" s="11"/>
      <c r="N150" s="9"/>
      <c r="O150" s="9" t="str">
        <f t="shared" ca="1" si="13"/>
        <v>N/A</v>
      </c>
      <c r="P150" s="10"/>
      <c r="Q150" s="11"/>
      <c r="R150" s="11"/>
      <c r="S150" s="11"/>
      <c r="T150" s="9"/>
      <c r="U150" s="9" t="str">
        <f t="shared" ca="1" si="14"/>
        <v>N/A</v>
      </c>
      <c r="V150" s="10"/>
      <c r="W150" s="11"/>
      <c r="X150" s="9"/>
      <c r="Y150" s="9"/>
      <c r="Z150" s="9"/>
      <c r="AA150" s="10"/>
      <c r="AB150" s="10"/>
      <c r="AC150" s="11"/>
    </row>
    <row r="151" spans="2:29" ht="15" customHeight="1">
      <c r="B151" s="9" t="str">
        <f t="shared" si="10"/>
        <v/>
      </c>
      <c r="C151" s="11"/>
      <c r="D151" s="9"/>
      <c r="E151" s="9"/>
      <c r="F151" s="10"/>
      <c r="G151" s="11"/>
      <c r="H151" s="36" t="str">
        <f t="shared" ca="1" si="11"/>
        <v>N/A</v>
      </c>
      <c r="I151" s="10"/>
      <c r="J151" s="9"/>
      <c r="K151" s="36" t="str">
        <f t="shared" ca="1" si="12"/>
        <v>N/A</v>
      </c>
      <c r="L151" s="10"/>
      <c r="M151" s="11"/>
      <c r="N151" s="9"/>
      <c r="O151" s="9" t="str">
        <f t="shared" ca="1" si="13"/>
        <v>N/A</v>
      </c>
      <c r="P151" s="10"/>
      <c r="Q151" s="11"/>
      <c r="R151" s="11"/>
      <c r="S151" s="11"/>
      <c r="T151" s="9"/>
      <c r="U151" s="9" t="str">
        <f t="shared" ca="1" si="14"/>
        <v>N/A</v>
      </c>
      <c r="V151" s="10"/>
      <c r="W151" s="11"/>
      <c r="X151" s="9"/>
      <c r="Y151" s="9"/>
      <c r="Z151" s="9"/>
      <c r="AA151" s="10"/>
      <c r="AB151" s="10"/>
      <c r="AC151" s="11"/>
    </row>
    <row r="152" spans="2:29" ht="15" customHeight="1">
      <c r="B152" s="9" t="str">
        <f t="shared" si="10"/>
        <v/>
      </c>
      <c r="C152" s="11"/>
      <c r="D152" s="9"/>
      <c r="E152" s="9"/>
      <c r="F152" s="10"/>
      <c r="G152" s="11"/>
      <c r="H152" s="36" t="str">
        <f t="shared" ca="1" si="11"/>
        <v>N/A</v>
      </c>
      <c r="I152" s="10"/>
      <c r="J152" s="9"/>
      <c r="K152" s="36" t="str">
        <f t="shared" ca="1" si="12"/>
        <v>N/A</v>
      </c>
      <c r="L152" s="10"/>
      <c r="M152" s="11"/>
      <c r="N152" s="9"/>
      <c r="O152" s="9" t="str">
        <f t="shared" ca="1" si="13"/>
        <v>N/A</v>
      </c>
      <c r="P152" s="10"/>
      <c r="Q152" s="11"/>
      <c r="R152" s="11"/>
      <c r="S152" s="11"/>
      <c r="T152" s="9"/>
      <c r="U152" s="9" t="str">
        <f t="shared" ca="1" si="14"/>
        <v>N/A</v>
      </c>
      <c r="V152" s="10"/>
      <c r="W152" s="11"/>
      <c r="X152" s="9"/>
      <c r="Y152" s="9"/>
      <c r="Z152" s="9"/>
      <c r="AA152" s="10"/>
      <c r="AB152" s="10"/>
      <c r="AC152" s="11"/>
    </row>
    <row r="153" spans="2:29" ht="15" customHeight="1">
      <c r="B153" s="9" t="str">
        <f t="shared" si="10"/>
        <v/>
      </c>
      <c r="C153" s="11"/>
      <c r="D153" s="9"/>
      <c r="E153" s="9"/>
      <c r="F153" s="10"/>
      <c r="G153" s="11"/>
      <c r="H153" s="36" t="str">
        <f t="shared" ca="1" si="11"/>
        <v>N/A</v>
      </c>
      <c r="I153" s="10"/>
      <c r="J153" s="9"/>
      <c r="K153" s="36" t="str">
        <f t="shared" ca="1" si="12"/>
        <v>N/A</v>
      </c>
      <c r="L153" s="10"/>
      <c r="M153" s="11"/>
      <c r="N153" s="9"/>
      <c r="O153" s="9" t="str">
        <f t="shared" ca="1" si="13"/>
        <v>N/A</v>
      </c>
      <c r="P153" s="10"/>
      <c r="Q153" s="11"/>
      <c r="R153" s="11"/>
      <c r="S153" s="11"/>
      <c r="T153" s="9"/>
      <c r="U153" s="9" t="str">
        <f t="shared" ca="1" si="14"/>
        <v>N/A</v>
      </c>
      <c r="V153" s="10"/>
      <c r="W153" s="11"/>
      <c r="X153" s="9"/>
      <c r="Y153" s="9"/>
      <c r="Z153" s="9"/>
      <c r="AA153" s="10"/>
      <c r="AB153" s="10"/>
      <c r="AC153" s="11"/>
    </row>
    <row r="154" spans="2:29" ht="15" customHeight="1">
      <c r="B154" s="9" t="str">
        <f t="shared" si="10"/>
        <v/>
      </c>
      <c r="C154" s="11"/>
      <c r="D154" s="9"/>
      <c r="E154" s="9"/>
      <c r="F154" s="10"/>
      <c r="G154" s="11"/>
      <c r="H154" s="36" t="str">
        <f t="shared" ca="1" si="11"/>
        <v>N/A</v>
      </c>
      <c r="I154" s="10"/>
      <c r="J154" s="9"/>
      <c r="K154" s="36" t="str">
        <f t="shared" ca="1" si="12"/>
        <v>N/A</v>
      </c>
      <c r="L154" s="10"/>
      <c r="M154" s="11"/>
      <c r="N154" s="9"/>
      <c r="O154" s="9" t="str">
        <f t="shared" ca="1" si="13"/>
        <v>N/A</v>
      </c>
      <c r="P154" s="10"/>
      <c r="Q154" s="11"/>
      <c r="R154" s="11"/>
      <c r="S154" s="11"/>
      <c r="T154" s="9"/>
      <c r="U154" s="9" t="str">
        <f t="shared" ca="1" si="14"/>
        <v>N/A</v>
      </c>
      <c r="V154" s="10"/>
      <c r="W154" s="11"/>
      <c r="X154" s="9"/>
      <c r="Y154" s="9"/>
      <c r="Z154" s="9"/>
      <c r="AA154" s="10"/>
      <c r="AB154" s="10"/>
      <c r="AC154" s="11"/>
    </row>
    <row r="155" spans="2:29" ht="15" customHeight="1">
      <c r="B155" s="9" t="str">
        <f t="shared" si="10"/>
        <v/>
      </c>
      <c r="C155" s="11"/>
      <c r="D155" s="9"/>
      <c r="E155" s="9"/>
      <c r="F155" s="10"/>
      <c r="G155" s="11"/>
      <c r="H155" s="36" t="str">
        <f t="shared" ca="1" si="11"/>
        <v>N/A</v>
      </c>
      <c r="I155" s="10"/>
      <c r="J155" s="9"/>
      <c r="K155" s="36" t="str">
        <f t="shared" ca="1" si="12"/>
        <v>N/A</v>
      </c>
      <c r="L155" s="10"/>
      <c r="M155" s="11"/>
      <c r="N155" s="9"/>
      <c r="O155" s="9" t="str">
        <f t="shared" ca="1" si="13"/>
        <v>N/A</v>
      </c>
      <c r="P155" s="10"/>
      <c r="Q155" s="11"/>
      <c r="R155" s="11"/>
      <c r="S155" s="11"/>
      <c r="T155" s="9"/>
      <c r="U155" s="9" t="str">
        <f t="shared" ca="1" si="14"/>
        <v>N/A</v>
      </c>
      <c r="V155" s="10"/>
      <c r="W155" s="11"/>
      <c r="X155" s="9"/>
      <c r="Y155" s="9"/>
      <c r="Z155" s="9"/>
      <c r="AA155" s="10"/>
      <c r="AB155" s="10"/>
      <c r="AC155" s="11"/>
    </row>
    <row r="156" spans="2:29" ht="15" customHeight="1">
      <c r="B156" s="9" t="str">
        <f t="shared" si="10"/>
        <v/>
      </c>
      <c r="C156" s="11"/>
      <c r="D156" s="9"/>
      <c r="E156" s="9"/>
      <c r="F156" s="10"/>
      <c r="G156" s="11"/>
      <c r="H156" s="36" t="str">
        <f t="shared" ca="1" si="11"/>
        <v>N/A</v>
      </c>
      <c r="I156" s="10"/>
      <c r="J156" s="9"/>
      <c r="K156" s="36" t="str">
        <f t="shared" ca="1" si="12"/>
        <v>N/A</v>
      </c>
      <c r="L156" s="10"/>
      <c r="M156" s="11"/>
      <c r="N156" s="9"/>
      <c r="O156" s="9" t="str">
        <f t="shared" ca="1" si="13"/>
        <v>N/A</v>
      </c>
      <c r="P156" s="10"/>
      <c r="Q156" s="11"/>
      <c r="R156" s="11"/>
      <c r="S156" s="11"/>
      <c r="T156" s="9"/>
      <c r="U156" s="9" t="str">
        <f t="shared" ca="1" si="14"/>
        <v>N/A</v>
      </c>
      <c r="V156" s="10"/>
      <c r="W156" s="11"/>
      <c r="X156" s="9"/>
      <c r="Y156" s="9"/>
      <c r="Z156" s="9"/>
      <c r="AA156" s="10"/>
      <c r="AB156" s="10"/>
      <c r="AC156" s="11"/>
    </row>
    <row r="157" spans="2:29" ht="15" customHeight="1">
      <c r="B157" s="9" t="str">
        <f t="shared" si="10"/>
        <v/>
      </c>
      <c r="C157" s="11"/>
      <c r="D157" s="9"/>
      <c r="E157" s="9"/>
      <c r="F157" s="10"/>
      <c r="G157" s="11"/>
      <c r="H157" s="36" t="str">
        <f t="shared" ca="1" si="11"/>
        <v>N/A</v>
      </c>
      <c r="I157" s="10"/>
      <c r="J157" s="9"/>
      <c r="K157" s="36" t="str">
        <f t="shared" ca="1" si="12"/>
        <v>N/A</v>
      </c>
      <c r="L157" s="10"/>
      <c r="M157" s="11"/>
      <c r="N157" s="9"/>
      <c r="O157" s="9" t="str">
        <f t="shared" ca="1" si="13"/>
        <v>N/A</v>
      </c>
      <c r="P157" s="10"/>
      <c r="Q157" s="11"/>
      <c r="R157" s="11"/>
      <c r="S157" s="11"/>
      <c r="T157" s="9"/>
      <c r="U157" s="9" t="str">
        <f t="shared" ca="1" si="14"/>
        <v>N/A</v>
      </c>
      <c r="V157" s="10"/>
      <c r="W157" s="11"/>
      <c r="X157" s="9"/>
      <c r="Y157" s="9"/>
      <c r="Z157" s="9"/>
      <c r="AA157" s="10"/>
      <c r="AB157" s="10"/>
      <c r="AC157" s="11"/>
    </row>
    <row r="158" spans="2:29" ht="15" customHeight="1">
      <c r="B158" s="9" t="str">
        <f t="shared" si="10"/>
        <v/>
      </c>
      <c r="C158" s="11"/>
      <c r="D158" s="9"/>
      <c r="E158" s="9"/>
      <c r="F158" s="10"/>
      <c r="G158" s="11"/>
      <c r="H158" s="36" t="str">
        <f t="shared" ca="1" si="11"/>
        <v>N/A</v>
      </c>
      <c r="I158" s="10"/>
      <c r="J158" s="9"/>
      <c r="K158" s="36" t="str">
        <f t="shared" ca="1" si="12"/>
        <v>N/A</v>
      </c>
      <c r="L158" s="10"/>
      <c r="M158" s="11"/>
      <c r="N158" s="9"/>
      <c r="O158" s="9" t="str">
        <f t="shared" ca="1" si="13"/>
        <v>N/A</v>
      </c>
      <c r="P158" s="10"/>
      <c r="Q158" s="11"/>
      <c r="R158" s="11"/>
      <c r="S158" s="11"/>
      <c r="T158" s="9"/>
      <c r="U158" s="9" t="str">
        <f t="shared" ca="1" si="14"/>
        <v>N/A</v>
      </c>
      <c r="V158" s="10"/>
      <c r="W158" s="11"/>
      <c r="X158" s="9"/>
      <c r="Y158" s="9"/>
      <c r="Z158" s="9"/>
      <c r="AA158" s="10"/>
      <c r="AB158" s="10"/>
      <c r="AC158" s="11"/>
    </row>
    <row r="159" spans="2:29" ht="15" customHeight="1">
      <c r="B159" s="9" t="str">
        <f t="shared" si="10"/>
        <v/>
      </c>
      <c r="C159" s="11"/>
      <c r="D159" s="9"/>
      <c r="E159" s="9"/>
      <c r="F159" s="10"/>
      <c r="G159" s="11"/>
      <c r="H159" s="36" t="str">
        <f t="shared" ca="1" si="11"/>
        <v>N/A</v>
      </c>
      <c r="I159" s="10"/>
      <c r="J159" s="9"/>
      <c r="K159" s="36" t="str">
        <f t="shared" ca="1" si="12"/>
        <v>N/A</v>
      </c>
      <c r="L159" s="10"/>
      <c r="M159" s="11"/>
      <c r="N159" s="9"/>
      <c r="O159" s="9" t="str">
        <f t="shared" ca="1" si="13"/>
        <v>N/A</v>
      </c>
      <c r="P159" s="10"/>
      <c r="Q159" s="11"/>
      <c r="R159" s="11"/>
      <c r="S159" s="11"/>
      <c r="T159" s="9"/>
      <c r="U159" s="9" t="str">
        <f t="shared" ca="1" si="14"/>
        <v>N/A</v>
      </c>
      <c r="V159" s="10"/>
      <c r="W159" s="11"/>
      <c r="X159" s="9"/>
      <c r="Y159" s="9"/>
      <c r="Z159" s="9"/>
      <c r="AA159" s="10"/>
      <c r="AB159" s="10"/>
      <c r="AC159" s="11"/>
    </row>
    <row r="160" spans="2:29" ht="15" customHeight="1">
      <c r="B160" s="9" t="str">
        <f t="shared" si="10"/>
        <v/>
      </c>
      <c r="C160" s="11"/>
      <c r="D160" s="9"/>
      <c r="E160" s="9"/>
      <c r="F160" s="10"/>
      <c r="G160" s="11"/>
      <c r="H160" s="36" t="str">
        <f t="shared" ca="1" si="11"/>
        <v>N/A</v>
      </c>
      <c r="I160" s="10"/>
      <c r="J160" s="9"/>
      <c r="K160" s="36" t="str">
        <f t="shared" ca="1" si="12"/>
        <v>N/A</v>
      </c>
      <c r="L160" s="10"/>
      <c r="M160" s="11"/>
      <c r="N160" s="9"/>
      <c r="O160" s="9" t="str">
        <f t="shared" ca="1" si="13"/>
        <v>N/A</v>
      </c>
      <c r="P160" s="10"/>
      <c r="Q160" s="11"/>
      <c r="R160" s="11"/>
      <c r="S160" s="11"/>
      <c r="T160" s="9"/>
      <c r="U160" s="9" t="str">
        <f t="shared" ca="1" si="14"/>
        <v>N/A</v>
      </c>
      <c r="V160" s="10"/>
      <c r="W160" s="11"/>
      <c r="X160" s="9"/>
      <c r="Y160" s="9"/>
      <c r="Z160" s="9"/>
      <c r="AA160" s="10"/>
      <c r="AB160" s="10"/>
      <c r="AC160" s="11"/>
    </row>
    <row r="161" spans="2:29" ht="15" customHeight="1">
      <c r="B161" s="9" t="str">
        <f t="shared" si="10"/>
        <v/>
      </c>
      <c r="C161" s="11"/>
      <c r="D161" s="9"/>
      <c r="E161" s="9"/>
      <c r="F161" s="10"/>
      <c r="G161" s="11"/>
      <c r="H161" s="36" t="str">
        <f t="shared" ca="1" si="11"/>
        <v>N/A</v>
      </c>
      <c r="I161" s="10"/>
      <c r="J161" s="9"/>
      <c r="K161" s="36" t="str">
        <f t="shared" ca="1" si="12"/>
        <v>N/A</v>
      </c>
      <c r="L161" s="10"/>
      <c r="M161" s="11"/>
      <c r="N161" s="9"/>
      <c r="O161" s="9" t="str">
        <f t="shared" ca="1" si="13"/>
        <v>N/A</v>
      </c>
      <c r="P161" s="10"/>
      <c r="Q161" s="11"/>
      <c r="R161" s="11"/>
      <c r="S161" s="11"/>
      <c r="T161" s="9"/>
      <c r="U161" s="9" t="str">
        <f t="shared" ca="1" si="14"/>
        <v>N/A</v>
      </c>
      <c r="V161" s="10"/>
      <c r="W161" s="11"/>
      <c r="X161" s="9"/>
      <c r="Y161" s="9"/>
      <c r="Z161" s="9"/>
      <c r="AA161" s="10"/>
      <c r="AB161" s="10"/>
      <c r="AC161" s="11"/>
    </row>
    <row r="162" spans="2:29" ht="15" customHeight="1">
      <c r="B162" s="9" t="str">
        <f t="shared" si="10"/>
        <v/>
      </c>
      <c r="C162" s="11"/>
      <c r="D162" s="9"/>
      <c r="E162" s="9"/>
      <c r="F162" s="10"/>
      <c r="G162" s="11"/>
      <c r="H162" s="36" t="str">
        <f t="shared" ca="1" si="11"/>
        <v>N/A</v>
      </c>
      <c r="I162" s="10"/>
      <c r="J162" s="9"/>
      <c r="K162" s="36" t="str">
        <f t="shared" ca="1" si="12"/>
        <v>N/A</v>
      </c>
      <c r="L162" s="10"/>
      <c r="M162" s="11"/>
      <c r="N162" s="9"/>
      <c r="O162" s="9" t="str">
        <f t="shared" ca="1" si="13"/>
        <v>N/A</v>
      </c>
      <c r="P162" s="10"/>
      <c r="Q162" s="11"/>
      <c r="R162" s="11"/>
      <c r="S162" s="11"/>
      <c r="T162" s="9"/>
      <c r="U162" s="9" t="str">
        <f t="shared" ca="1" si="14"/>
        <v>N/A</v>
      </c>
      <c r="V162" s="10"/>
      <c r="W162" s="11"/>
      <c r="X162" s="9"/>
      <c r="Y162" s="9"/>
      <c r="Z162" s="9"/>
      <c r="AA162" s="10"/>
      <c r="AB162" s="10"/>
      <c r="AC162" s="11"/>
    </row>
    <row r="163" spans="2:29" ht="15" customHeight="1">
      <c r="B163" s="9" t="str">
        <f t="shared" si="10"/>
        <v/>
      </c>
      <c r="C163" s="11"/>
      <c r="D163" s="9"/>
      <c r="E163" s="9"/>
      <c r="F163" s="10"/>
      <c r="G163" s="11"/>
      <c r="H163" s="36" t="str">
        <f t="shared" ca="1" si="11"/>
        <v>N/A</v>
      </c>
      <c r="I163" s="10"/>
      <c r="J163" s="9"/>
      <c r="K163" s="36" t="str">
        <f t="shared" ca="1" si="12"/>
        <v>N/A</v>
      </c>
      <c r="L163" s="10"/>
      <c r="M163" s="11"/>
      <c r="N163" s="9"/>
      <c r="O163" s="9" t="str">
        <f t="shared" ca="1" si="13"/>
        <v>N/A</v>
      </c>
      <c r="P163" s="10"/>
      <c r="Q163" s="11"/>
      <c r="R163" s="11"/>
      <c r="S163" s="11"/>
      <c r="T163" s="9"/>
      <c r="U163" s="9" t="str">
        <f t="shared" ca="1" si="14"/>
        <v>N/A</v>
      </c>
      <c r="V163" s="10"/>
      <c r="W163" s="11"/>
      <c r="X163" s="9"/>
      <c r="Y163" s="9"/>
      <c r="Z163" s="9"/>
      <c r="AA163" s="10"/>
      <c r="AB163" s="10"/>
      <c r="AC163" s="11"/>
    </row>
    <row r="164" spans="2:29" ht="15" customHeight="1">
      <c r="B164" s="9" t="str">
        <f t="shared" si="10"/>
        <v/>
      </c>
      <c r="C164" s="11"/>
      <c r="D164" s="9"/>
      <c r="E164" s="9"/>
      <c r="F164" s="10"/>
      <c r="G164" s="11"/>
      <c r="H164" s="36" t="str">
        <f t="shared" ca="1" si="11"/>
        <v>N/A</v>
      </c>
      <c r="I164" s="10"/>
      <c r="J164" s="9"/>
      <c r="K164" s="36" t="str">
        <f t="shared" ca="1" si="12"/>
        <v>N/A</v>
      </c>
      <c r="L164" s="10"/>
      <c r="M164" s="11"/>
      <c r="N164" s="9"/>
      <c r="O164" s="9" t="str">
        <f t="shared" ca="1" si="13"/>
        <v>N/A</v>
      </c>
      <c r="P164" s="10"/>
      <c r="Q164" s="11"/>
      <c r="R164" s="11"/>
      <c r="S164" s="11"/>
      <c r="T164" s="9"/>
      <c r="U164" s="9" t="str">
        <f t="shared" ca="1" si="14"/>
        <v>N/A</v>
      </c>
      <c r="V164" s="10"/>
      <c r="W164" s="11"/>
      <c r="X164" s="9"/>
      <c r="Y164" s="9"/>
      <c r="Z164" s="9"/>
      <c r="AA164" s="10"/>
      <c r="AB164" s="10"/>
      <c r="AC164" s="11"/>
    </row>
    <row r="165" spans="2:29" ht="15" customHeight="1">
      <c r="B165" s="9" t="str">
        <f t="shared" si="10"/>
        <v/>
      </c>
      <c r="C165" s="11"/>
      <c r="D165" s="9"/>
      <c r="E165" s="9"/>
      <c r="F165" s="10"/>
      <c r="G165" s="11"/>
      <c r="H165" s="36" t="str">
        <f t="shared" ca="1" si="11"/>
        <v>N/A</v>
      </c>
      <c r="I165" s="10"/>
      <c r="J165" s="9"/>
      <c r="K165" s="36" t="str">
        <f t="shared" ca="1" si="12"/>
        <v>N/A</v>
      </c>
      <c r="L165" s="10"/>
      <c r="M165" s="11"/>
      <c r="N165" s="9"/>
      <c r="O165" s="9" t="str">
        <f t="shared" ca="1" si="13"/>
        <v>N/A</v>
      </c>
      <c r="P165" s="10"/>
      <c r="Q165" s="11"/>
      <c r="R165" s="11"/>
      <c r="S165" s="11"/>
      <c r="T165" s="9"/>
      <c r="U165" s="9" t="str">
        <f t="shared" ca="1" si="14"/>
        <v>N/A</v>
      </c>
      <c r="V165" s="10"/>
      <c r="W165" s="11"/>
      <c r="X165" s="9"/>
      <c r="Y165" s="9"/>
      <c r="Z165" s="9"/>
      <c r="AA165" s="10"/>
      <c r="AB165" s="10"/>
      <c r="AC165" s="11"/>
    </row>
    <row r="166" spans="2:29" ht="15" customHeight="1">
      <c r="B166" s="9" t="str">
        <f t="shared" si="10"/>
        <v/>
      </c>
      <c r="C166" s="11"/>
      <c r="D166" s="9"/>
      <c r="E166" s="9"/>
      <c r="F166" s="10"/>
      <c r="G166" s="11"/>
      <c r="H166" s="36" t="str">
        <f t="shared" ca="1" si="11"/>
        <v>N/A</v>
      </c>
      <c r="I166" s="10"/>
      <c r="J166" s="9"/>
      <c r="K166" s="36" t="str">
        <f t="shared" ca="1" si="12"/>
        <v>N/A</v>
      </c>
      <c r="L166" s="10"/>
      <c r="M166" s="11"/>
      <c r="N166" s="9"/>
      <c r="O166" s="9" t="str">
        <f t="shared" ca="1" si="13"/>
        <v>N/A</v>
      </c>
      <c r="P166" s="10"/>
      <c r="Q166" s="11"/>
      <c r="R166" s="11"/>
      <c r="S166" s="11"/>
      <c r="T166" s="9"/>
      <c r="U166" s="9" t="str">
        <f t="shared" ca="1" si="14"/>
        <v>N/A</v>
      </c>
      <c r="V166" s="10"/>
      <c r="W166" s="11"/>
      <c r="X166" s="9"/>
      <c r="Y166" s="9"/>
      <c r="Z166" s="9"/>
      <c r="AA166" s="10"/>
      <c r="AB166" s="10"/>
      <c r="AC166" s="11"/>
    </row>
    <row r="167" spans="2:29" ht="15" customHeight="1">
      <c r="B167" s="9" t="str">
        <f t="shared" si="10"/>
        <v/>
      </c>
      <c r="C167" s="11"/>
      <c r="D167" s="9"/>
      <c r="E167" s="9"/>
      <c r="F167" s="10"/>
      <c r="G167" s="11"/>
      <c r="H167" s="36" t="str">
        <f t="shared" ca="1" si="11"/>
        <v>N/A</v>
      </c>
      <c r="I167" s="10"/>
      <c r="J167" s="9"/>
      <c r="K167" s="36" t="str">
        <f t="shared" ca="1" si="12"/>
        <v>N/A</v>
      </c>
      <c r="L167" s="10"/>
      <c r="M167" s="11"/>
      <c r="N167" s="9"/>
      <c r="O167" s="9" t="str">
        <f t="shared" ca="1" si="13"/>
        <v>N/A</v>
      </c>
      <c r="P167" s="10"/>
      <c r="Q167" s="11"/>
      <c r="R167" s="11"/>
      <c r="S167" s="11"/>
      <c r="T167" s="9"/>
      <c r="U167" s="9" t="str">
        <f t="shared" ca="1" si="14"/>
        <v>N/A</v>
      </c>
      <c r="V167" s="10"/>
      <c r="W167" s="11"/>
      <c r="X167" s="9"/>
      <c r="Y167" s="9"/>
      <c r="Z167" s="9"/>
      <c r="AA167" s="10"/>
      <c r="AB167" s="10"/>
      <c r="AC167" s="11"/>
    </row>
    <row r="168" spans="2:29" ht="15" customHeight="1">
      <c r="B168" s="9" t="str">
        <f t="shared" si="10"/>
        <v/>
      </c>
      <c r="C168" s="11"/>
      <c r="D168" s="9"/>
      <c r="E168" s="9"/>
      <c r="F168" s="10"/>
      <c r="G168" s="11"/>
      <c r="H168" s="36" t="str">
        <f t="shared" ca="1" si="11"/>
        <v>N/A</v>
      </c>
      <c r="I168" s="10"/>
      <c r="J168" s="9"/>
      <c r="K168" s="36" t="str">
        <f t="shared" ca="1" si="12"/>
        <v>N/A</v>
      </c>
      <c r="L168" s="10"/>
      <c r="M168" s="11"/>
      <c r="N168" s="9"/>
      <c r="O168" s="9" t="str">
        <f t="shared" ca="1" si="13"/>
        <v>N/A</v>
      </c>
      <c r="P168" s="10"/>
      <c r="Q168" s="11"/>
      <c r="R168" s="11"/>
      <c r="S168" s="11"/>
      <c r="T168" s="9"/>
      <c r="U168" s="9" t="str">
        <f t="shared" ca="1" si="14"/>
        <v>N/A</v>
      </c>
      <c r="V168" s="10"/>
      <c r="W168" s="11"/>
      <c r="X168" s="9"/>
      <c r="Y168" s="9"/>
      <c r="Z168" s="9"/>
      <c r="AA168" s="10"/>
      <c r="AB168" s="10"/>
      <c r="AC168" s="11"/>
    </row>
    <row r="169" spans="2:29" ht="15" customHeight="1">
      <c r="B169" s="9" t="str">
        <f t="shared" si="10"/>
        <v/>
      </c>
      <c r="C169" s="11"/>
      <c r="D169" s="9"/>
      <c r="E169" s="9"/>
      <c r="F169" s="10"/>
      <c r="G169" s="11"/>
      <c r="H169" s="36" t="str">
        <f t="shared" ca="1" si="11"/>
        <v>N/A</v>
      </c>
      <c r="I169" s="10"/>
      <c r="J169" s="9"/>
      <c r="K169" s="36" t="str">
        <f t="shared" ca="1" si="12"/>
        <v>N/A</v>
      </c>
      <c r="L169" s="10"/>
      <c r="M169" s="11"/>
      <c r="N169" s="9"/>
      <c r="O169" s="9" t="str">
        <f t="shared" ca="1" si="13"/>
        <v>N/A</v>
      </c>
      <c r="P169" s="10"/>
      <c r="Q169" s="11"/>
      <c r="R169" s="11"/>
      <c r="S169" s="11"/>
      <c r="T169" s="9"/>
      <c r="U169" s="9" t="str">
        <f t="shared" ca="1" si="14"/>
        <v>N/A</v>
      </c>
      <c r="V169" s="10"/>
      <c r="W169" s="11"/>
      <c r="X169" s="9"/>
      <c r="Y169" s="9"/>
      <c r="Z169" s="9"/>
      <c r="AA169" s="10"/>
      <c r="AB169" s="10"/>
      <c r="AC169" s="11"/>
    </row>
    <row r="170" spans="2:29" ht="15" customHeight="1">
      <c r="B170" s="9" t="str">
        <f t="shared" si="10"/>
        <v/>
      </c>
      <c r="C170" s="11"/>
      <c r="D170" s="9"/>
      <c r="E170" s="9"/>
      <c r="F170" s="10"/>
      <c r="G170" s="11"/>
      <c r="H170" s="36" t="str">
        <f t="shared" ca="1" si="11"/>
        <v>N/A</v>
      </c>
      <c r="I170" s="10"/>
      <c r="J170" s="9"/>
      <c r="K170" s="36" t="str">
        <f t="shared" ca="1" si="12"/>
        <v>N/A</v>
      </c>
      <c r="L170" s="10"/>
      <c r="M170" s="11"/>
      <c r="N170" s="9"/>
      <c r="O170" s="9" t="str">
        <f t="shared" ca="1" si="13"/>
        <v>N/A</v>
      </c>
      <c r="P170" s="10"/>
      <c r="Q170" s="11"/>
      <c r="R170" s="11"/>
      <c r="S170" s="11"/>
      <c r="T170" s="9"/>
      <c r="U170" s="9" t="str">
        <f t="shared" ca="1" si="14"/>
        <v>N/A</v>
      </c>
      <c r="V170" s="10"/>
      <c r="W170" s="11"/>
      <c r="X170" s="9"/>
      <c r="Y170" s="9"/>
      <c r="Z170" s="9"/>
      <c r="AA170" s="10"/>
      <c r="AB170" s="10"/>
      <c r="AC170" s="11"/>
    </row>
    <row r="171" spans="2:29" ht="15" customHeight="1">
      <c r="B171" s="9" t="str">
        <f t="shared" si="10"/>
        <v/>
      </c>
      <c r="C171" s="11"/>
      <c r="D171" s="9"/>
      <c r="E171" s="9"/>
      <c r="F171" s="10"/>
      <c r="G171" s="11"/>
      <c r="H171" s="36" t="str">
        <f t="shared" ca="1" si="11"/>
        <v>N/A</v>
      </c>
      <c r="I171" s="10"/>
      <c r="J171" s="9"/>
      <c r="K171" s="36" t="str">
        <f t="shared" ca="1" si="12"/>
        <v>N/A</v>
      </c>
      <c r="L171" s="10"/>
      <c r="M171" s="11"/>
      <c r="N171" s="9"/>
      <c r="O171" s="9" t="str">
        <f t="shared" ca="1" si="13"/>
        <v>N/A</v>
      </c>
      <c r="P171" s="10"/>
      <c r="Q171" s="11"/>
      <c r="R171" s="11"/>
      <c r="S171" s="11"/>
      <c r="T171" s="9"/>
      <c r="U171" s="9" t="str">
        <f t="shared" ca="1" si="14"/>
        <v>N/A</v>
      </c>
      <c r="V171" s="10"/>
      <c r="W171" s="11"/>
      <c r="X171" s="9"/>
      <c r="Y171" s="9"/>
      <c r="Z171" s="9"/>
      <c r="AA171" s="10"/>
      <c r="AB171" s="10"/>
      <c r="AC171" s="11"/>
    </row>
    <row r="172" spans="2:29" ht="15" customHeight="1">
      <c r="B172" s="9" t="str">
        <f t="shared" si="10"/>
        <v/>
      </c>
      <c r="C172" s="11"/>
      <c r="D172" s="9"/>
      <c r="E172" s="9"/>
      <c r="F172" s="10"/>
      <c r="G172" s="11"/>
      <c r="H172" s="36" t="str">
        <f t="shared" ca="1" si="11"/>
        <v>N/A</v>
      </c>
      <c r="I172" s="10"/>
      <c r="J172" s="9"/>
      <c r="K172" s="36" t="str">
        <f t="shared" ca="1" si="12"/>
        <v>N/A</v>
      </c>
      <c r="L172" s="10"/>
      <c r="M172" s="11"/>
      <c r="N172" s="9"/>
      <c r="O172" s="9" t="str">
        <f t="shared" ca="1" si="13"/>
        <v>N/A</v>
      </c>
      <c r="P172" s="10"/>
      <c r="Q172" s="11"/>
      <c r="R172" s="11"/>
      <c r="S172" s="11"/>
      <c r="T172" s="9"/>
      <c r="U172" s="9" t="str">
        <f t="shared" ca="1" si="14"/>
        <v>N/A</v>
      </c>
      <c r="V172" s="10"/>
      <c r="W172" s="11"/>
      <c r="X172" s="9"/>
      <c r="Y172" s="9"/>
      <c r="Z172" s="9"/>
      <c r="AA172" s="10"/>
      <c r="AB172" s="10"/>
      <c r="AC172" s="11"/>
    </row>
    <row r="173" spans="2:29" ht="15" customHeight="1">
      <c r="B173" s="9" t="str">
        <f t="shared" si="10"/>
        <v/>
      </c>
      <c r="C173" s="11"/>
      <c r="D173" s="9"/>
      <c r="E173" s="9"/>
      <c r="F173" s="10"/>
      <c r="G173" s="11"/>
      <c r="H173" s="36" t="str">
        <f t="shared" ca="1" si="11"/>
        <v>N/A</v>
      </c>
      <c r="I173" s="10"/>
      <c r="J173" s="9"/>
      <c r="K173" s="36" t="str">
        <f t="shared" ca="1" si="12"/>
        <v>N/A</v>
      </c>
      <c r="L173" s="10"/>
      <c r="M173" s="11"/>
      <c r="N173" s="9"/>
      <c r="O173" s="9" t="str">
        <f t="shared" ca="1" si="13"/>
        <v>N/A</v>
      </c>
      <c r="P173" s="10"/>
      <c r="Q173" s="11"/>
      <c r="R173" s="11"/>
      <c r="S173" s="11"/>
      <c r="T173" s="9"/>
      <c r="U173" s="9" t="str">
        <f t="shared" ca="1" si="14"/>
        <v>N/A</v>
      </c>
      <c r="V173" s="10"/>
      <c r="W173" s="11"/>
      <c r="X173" s="9"/>
      <c r="Y173" s="9"/>
      <c r="Z173" s="9"/>
      <c r="AA173" s="10"/>
      <c r="AB173" s="10"/>
      <c r="AC173" s="11"/>
    </row>
    <row r="174" spans="2:29" ht="15" customHeight="1">
      <c r="B174" s="9" t="str">
        <f t="shared" si="10"/>
        <v/>
      </c>
      <c r="C174" s="11"/>
      <c r="D174" s="9"/>
      <c r="E174" s="9"/>
      <c r="F174" s="10"/>
      <c r="G174" s="11"/>
      <c r="H174" s="36" t="str">
        <f t="shared" ca="1" si="11"/>
        <v>N/A</v>
      </c>
      <c r="I174" s="10"/>
      <c r="J174" s="9"/>
      <c r="K174" s="36" t="str">
        <f t="shared" ca="1" si="12"/>
        <v>N/A</v>
      </c>
      <c r="L174" s="10"/>
      <c r="M174" s="11"/>
      <c r="N174" s="9"/>
      <c r="O174" s="9" t="str">
        <f t="shared" ca="1" si="13"/>
        <v>N/A</v>
      </c>
      <c r="P174" s="10"/>
      <c r="Q174" s="11"/>
      <c r="R174" s="11"/>
      <c r="S174" s="11"/>
      <c r="T174" s="9"/>
      <c r="U174" s="9" t="str">
        <f t="shared" ca="1" si="14"/>
        <v>N/A</v>
      </c>
      <c r="V174" s="10"/>
      <c r="W174" s="11"/>
      <c r="X174" s="9"/>
      <c r="Y174" s="9"/>
      <c r="Z174" s="9"/>
      <c r="AA174" s="10"/>
      <c r="AB174" s="10"/>
      <c r="AC174" s="11"/>
    </row>
    <row r="175" spans="2:29" ht="15" customHeight="1">
      <c r="B175" s="9" t="str">
        <f t="shared" si="10"/>
        <v/>
      </c>
      <c r="C175" s="11"/>
      <c r="D175" s="9"/>
      <c r="E175" s="9"/>
      <c r="F175" s="10"/>
      <c r="G175" s="11"/>
      <c r="H175" s="36" t="str">
        <f t="shared" ca="1" si="11"/>
        <v>N/A</v>
      </c>
      <c r="I175" s="10"/>
      <c r="J175" s="9"/>
      <c r="K175" s="36" t="str">
        <f t="shared" ca="1" si="12"/>
        <v>N/A</v>
      </c>
      <c r="L175" s="10"/>
      <c r="M175" s="11"/>
      <c r="N175" s="9"/>
      <c r="O175" s="9" t="str">
        <f t="shared" ca="1" si="13"/>
        <v>N/A</v>
      </c>
      <c r="P175" s="10"/>
      <c r="Q175" s="11"/>
      <c r="R175" s="11"/>
      <c r="S175" s="11"/>
      <c r="T175" s="9"/>
      <c r="U175" s="9" t="str">
        <f t="shared" ca="1" si="14"/>
        <v>N/A</v>
      </c>
      <c r="V175" s="10"/>
      <c r="W175" s="11"/>
      <c r="X175" s="9"/>
      <c r="Y175" s="9"/>
      <c r="Z175" s="9"/>
      <c r="AA175" s="10"/>
      <c r="AB175" s="10"/>
      <c r="AC175" s="11"/>
    </row>
    <row r="176" spans="2:29" ht="15" customHeight="1">
      <c r="B176" s="9" t="str">
        <f t="shared" si="10"/>
        <v/>
      </c>
      <c r="C176" s="11"/>
      <c r="D176" s="9"/>
      <c r="E176" s="9"/>
      <c r="F176" s="10"/>
      <c r="G176" s="11"/>
      <c r="H176" s="36" t="str">
        <f t="shared" ca="1" si="11"/>
        <v>N/A</v>
      </c>
      <c r="I176" s="10"/>
      <c r="J176" s="9"/>
      <c r="K176" s="36" t="str">
        <f t="shared" ca="1" si="12"/>
        <v>N/A</v>
      </c>
      <c r="L176" s="10"/>
      <c r="M176" s="11"/>
      <c r="N176" s="9"/>
      <c r="O176" s="9" t="str">
        <f t="shared" ca="1" si="13"/>
        <v>N/A</v>
      </c>
      <c r="P176" s="10"/>
      <c r="Q176" s="11"/>
      <c r="R176" s="11"/>
      <c r="S176" s="11"/>
      <c r="T176" s="9"/>
      <c r="U176" s="9" t="str">
        <f t="shared" ca="1" si="14"/>
        <v>N/A</v>
      </c>
      <c r="V176" s="10"/>
      <c r="W176" s="11"/>
      <c r="X176" s="9"/>
      <c r="Y176" s="9"/>
      <c r="Z176" s="9"/>
      <c r="AA176" s="10"/>
      <c r="AB176" s="10"/>
      <c r="AC176" s="11"/>
    </row>
    <row r="177" spans="2:29" ht="15" customHeight="1">
      <c r="B177" s="9" t="str">
        <f t="shared" si="10"/>
        <v/>
      </c>
      <c r="C177" s="11"/>
      <c r="D177" s="9"/>
      <c r="E177" s="9"/>
      <c r="F177" s="10"/>
      <c r="G177" s="11"/>
      <c r="H177" s="36" t="str">
        <f t="shared" ca="1" si="11"/>
        <v>N/A</v>
      </c>
      <c r="I177" s="10"/>
      <c r="J177" s="9"/>
      <c r="K177" s="36" t="str">
        <f t="shared" ca="1" si="12"/>
        <v>N/A</v>
      </c>
      <c r="L177" s="10"/>
      <c r="M177" s="11"/>
      <c r="N177" s="9"/>
      <c r="O177" s="9" t="str">
        <f t="shared" ca="1" si="13"/>
        <v>N/A</v>
      </c>
      <c r="P177" s="10"/>
      <c r="Q177" s="11"/>
      <c r="R177" s="11"/>
      <c r="S177" s="11"/>
      <c r="T177" s="9"/>
      <c r="U177" s="9" t="str">
        <f t="shared" ca="1" si="14"/>
        <v>N/A</v>
      </c>
      <c r="V177" s="10"/>
      <c r="W177" s="11"/>
      <c r="X177" s="9"/>
      <c r="Y177" s="9"/>
      <c r="Z177" s="9"/>
      <c r="AA177" s="10"/>
      <c r="AB177" s="10"/>
      <c r="AC177" s="11"/>
    </row>
    <row r="178" spans="2:29" ht="15" customHeight="1">
      <c r="B178" s="9" t="str">
        <f t="shared" si="10"/>
        <v/>
      </c>
      <c r="C178" s="11"/>
      <c r="D178" s="9"/>
      <c r="E178" s="9"/>
      <c r="F178" s="10"/>
      <c r="G178" s="11"/>
      <c r="H178" s="36" t="str">
        <f t="shared" ca="1" si="11"/>
        <v>N/A</v>
      </c>
      <c r="I178" s="10"/>
      <c r="J178" s="9"/>
      <c r="K178" s="36" t="str">
        <f t="shared" ca="1" si="12"/>
        <v>N/A</v>
      </c>
      <c r="L178" s="10"/>
      <c r="M178" s="11"/>
      <c r="N178" s="9"/>
      <c r="O178" s="9" t="str">
        <f t="shared" ca="1" si="13"/>
        <v>N/A</v>
      </c>
      <c r="P178" s="10"/>
      <c r="Q178" s="11"/>
      <c r="R178" s="11"/>
      <c r="S178" s="11"/>
      <c r="T178" s="9"/>
      <c r="U178" s="9" t="str">
        <f t="shared" ca="1" si="14"/>
        <v>N/A</v>
      </c>
      <c r="V178" s="10"/>
      <c r="W178" s="11"/>
      <c r="X178" s="9"/>
      <c r="Y178" s="9"/>
      <c r="Z178" s="9"/>
      <c r="AA178" s="10"/>
      <c r="AB178" s="10"/>
      <c r="AC178" s="11"/>
    </row>
    <row r="179" spans="2:29" ht="15" customHeight="1">
      <c r="B179" s="9" t="str">
        <f t="shared" si="10"/>
        <v/>
      </c>
      <c r="C179" s="11"/>
      <c r="D179" s="9"/>
      <c r="E179" s="9"/>
      <c r="F179" s="10"/>
      <c r="G179" s="11"/>
      <c r="H179" s="36" t="str">
        <f t="shared" ca="1" si="11"/>
        <v>N/A</v>
      </c>
      <c r="I179" s="10"/>
      <c r="J179" s="9"/>
      <c r="K179" s="36" t="str">
        <f t="shared" ca="1" si="12"/>
        <v>N/A</v>
      </c>
      <c r="L179" s="10"/>
      <c r="M179" s="11"/>
      <c r="N179" s="9"/>
      <c r="O179" s="9" t="str">
        <f t="shared" ca="1" si="13"/>
        <v>N/A</v>
      </c>
      <c r="P179" s="10"/>
      <c r="Q179" s="11"/>
      <c r="R179" s="11"/>
      <c r="S179" s="11"/>
      <c r="T179" s="9"/>
      <c r="U179" s="9" t="str">
        <f t="shared" ca="1" si="14"/>
        <v>N/A</v>
      </c>
      <c r="V179" s="10"/>
      <c r="W179" s="11"/>
      <c r="X179" s="9"/>
      <c r="Y179" s="9"/>
      <c r="Z179" s="9"/>
      <c r="AA179" s="10"/>
      <c r="AB179" s="10"/>
      <c r="AC179" s="11"/>
    </row>
    <row r="180" spans="2:29" ht="15" customHeight="1">
      <c r="B180" s="9" t="str">
        <f t="shared" si="10"/>
        <v/>
      </c>
      <c r="C180" s="11"/>
      <c r="D180" s="9"/>
      <c r="E180" s="9"/>
      <c r="F180" s="10"/>
      <c r="G180" s="11"/>
      <c r="H180" s="36" t="str">
        <f t="shared" ca="1" si="11"/>
        <v>N/A</v>
      </c>
      <c r="I180" s="10"/>
      <c r="J180" s="9"/>
      <c r="K180" s="36" t="str">
        <f t="shared" ca="1" si="12"/>
        <v>N/A</v>
      </c>
      <c r="L180" s="10"/>
      <c r="M180" s="11"/>
      <c r="N180" s="9"/>
      <c r="O180" s="9" t="str">
        <f t="shared" ca="1" si="13"/>
        <v>N/A</v>
      </c>
      <c r="P180" s="10"/>
      <c r="Q180" s="11"/>
      <c r="R180" s="11"/>
      <c r="S180" s="11"/>
      <c r="T180" s="9"/>
      <c r="U180" s="9" t="str">
        <f t="shared" ca="1" si="14"/>
        <v>N/A</v>
      </c>
      <c r="V180" s="10"/>
      <c r="W180" s="11"/>
      <c r="X180" s="9"/>
      <c r="Y180" s="9"/>
      <c r="Z180" s="9"/>
      <c r="AA180" s="10"/>
      <c r="AB180" s="10"/>
      <c r="AC180" s="11"/>
    </row>
    <row r="181" spans="2:29" ht="15" customHeight="1">
      <c r="B181" s="9" t="str">
        <f t="shared" si="10"/>
        <v/>
      </c>
      <c r="C181" s="11"/>
      <c r="D181" s="9"/>
      <c r="E181" s="9"/>
      <c r="F181" s="10"/>
      <c r="G181" s="11"/>
      <c r="H181" s="36" t="str">
        <f t="shared" ca="1" si="11"/>
        <v>N/A</v>
      </c>
      <c r="I181" s="10"/>
      <c r="J181" s="9"/>
      <c r="K181" s="36" t="str">
        <f t="shared" ca="1" si="12"/>
        <v>N/A</v>
      </c>
      <c r="L181" s="10"/>
      <c r="M181" s="11"/>
      <c r="N181" s="9"/>
      <c r="O181" s="9" t="str">
        <f t="shared" ca="1" si="13"/>
        <v>N/A</v>
      </c>
      <c r="P181" s="10"/>
      <c r="Q181" s="11"/>
      <c r="R181" s="11"/>
      <c r="S181" s="11"/>
      <c r="T181" s="9"/>
      <c r="U181" s="9" t="str">
        <f t="shared" ca="1" si="14"/>
        <v>N/A</v>
      </c>
      <c r="V181" s="10"/>
      <c r="W181" s="11"/>
      <c r="X181" s="9"/>
      <c r="Y181" s="9"/>
      <c r="Z181" s="9"/>
      <c r="AA181" s="10"/>
      <c r="AB181" s="10"/>
      <c r="AC181" s="11"/>
    </row>
    <row r="182" spans="2:29" ht="15" customHeight="1">
      <c r="B182" s="9" t="str">
        <f t="shared" si="10"/>
        <v/>
      </c>
      <c r="C182" s="11"/>
      <c r="D182" s="9"/>
      <c r="E182" s="9"/>
      <c r="F182" s="10"/>
      <c r="G182" s="11"/>
      <c r="H182" s="36" t="str">
        <f t="shared" ca="1" si="11"/>
        <v>N/A</v>
      </c>
      <c r="I182" s="10"/>
      <c r="J182" s="9"/>
      <c r="K182" s="36" t="str">
        <f t="shared" ca="1" si="12"/>
        <v>N/A</v>
      </c>
      <c r="L182" s="10"/>
      <c r="M182" s="11"/>
      <c r="N182" s="9"/>
      <c r="O182" s="9" t="str">
        <f t="shared" ca="1" si="13"/>
        <v>N/A</v>
      </c>
      <c r="P182" s="10"/>
      <c r="Q182" s="11"/>
      <c r="R182" s="11"/>
      <c r="S182" s="11"/>
      <c r="T182" s="9"/>
      <c r="U182" s="9" t="str">
        <f t="shared" ca="1" si="14"/>
        <v>N/A</v>
      </c>
      <c r="V182" s="10"/>
      <c r="W182" s="11"/>
      <c r="X182" s="9"/>
      <c r="Y182" s="9"/>
      <c r="Z182" s="9"/>
      <c r="AA182" s="10"/>
      <c r="AB182" s="10"/>
      <c r="AC182" s="11"/>
    </row>
    <row r="183" spans="2:29" ht="15" customHeight="1">
      <c r="B183" s="9" t="str">
        <f t="shared" si="10"/>
        <v/>
      </c>
      <c r="C183" s="11"/>
      <c r="D183" s="9"/>
      <c r="E183" s="9"/>
      <c r="F183" s="10"/>
      <c r="G183" s="11"/>
      <c r="H183" s="36" t="str">
        <f t="shared" ca="1" si="11"/>
        <v>N/A</v>
      </c>
      <c r="I183" s="10"/>
      <c r="J183" s="9"/>
      <c r="K183" s="36" t="str">
        <f t="shared" ca="1" si="12"/>
        <v>N/A</v>
      </c>
      <c r="L183" s="10"/>
      <c r="M183" s="11"/>
      <c r="N183" s="9"/>
      <c r="O183" s="9" t="str">
        <f t="shared" ca="1" si="13"/>
        <v>N/A</v>
      </c>
      <c r="P183" s="10"/>
      <c r="Q183" s="11"/>
      <c r="R183" s="11"/>
      <c r="S183" s="11"/>
      <c r="T183" s="9"/>
      <c r="U183" s="9" t="str">
        <f t="shared" ca="1" si="14"/>
        <v>N/A</v>
      </c>
      <c r="V183" s="10"/>
      <c r="W183" s="11"/>
      <c r="X183" s="9"/>
      <c r="Y183" s="9"/>
      <c r="Z183" s="9"/>
      <c r="AA183" s="10"/>
      <c r="AB183" s="10"/>
      <c r="AC183" s="11"/>
    </row>
    <row r="184" spans="2:29" ht="15" customHeight="1">
      <c r="B184" s="9" t="str">
        <f t="shared" si="10"/>
        <v/>
      </c>
      <c r="C184" s="11"/>
      <c r="D184" s="9"/>
      <c r="E184" s="9"/>
      <c r="F184" s="10"/>
      <c r="G184" s="11"/>
      <c r="H184" s="36" t="str">
        <f t="shared" ca="1" si="11"/>
        <v>N/A</v>
      </c>
      <c r="I184" s="10"/>
      <c r="J184" s="9"/>
      <c r="K184" s="36" t="str">
        <f t="shared" ca="1" si="12"/>
        <v>N/A</v>
      </c>
      <c r="L184" s="10"/>
      <c r="M184" s="11"/>
      <c r="N184" s="9"/>
      <c r="O184" s="9" t="str">
        <f t="shared" ca="1" si="13"/>
        <v>N/A</v>
      </c>
      <c r="P184" s="10"/>
      <c r="Q184" s="11"/>
      <c r="R184" s="11"/>
      <c r="S184" s="11"/>
      <c r="T184" s="9"/>
      <c r="U184" s="9" t="str">
        <f t="shared" ca="1" si="14"/>
        <v>N/A</v>
      </c>
      <c r="V184" s="10"/>
      <c r="W184" s="11"/>
      <c r="X184" s="9"/>
      <c r="Y184" s="9"/>
      <c r="Z184" s="9"/>
      <c r="AA184" s="10"/>
      <c r="AB184" s="10"/>
      <c r="AC184" s="11"/>
    </row>
    <row r="185" spans="2:29" ht="15" customHeight="1">
      <c r="B185" s="9" t="str">
        <f t="shared" si="10"/>
        <v/>
      </c>
      <c r="C185" s="11"/>
      <c r="D185" s="9"/>
      <c r="E185" s="9"/>
      <c r="F185" s="10"/>
      <c r="G185" s="11"/>
      <c r="H185" s="36" t="str">
        <f t="shared" ca="1" si="11"/>
        <v>N/A</v>
      </c>
      <c r="I185" s="10"/>
      <c r="J185" s="9"/>
      <c r="K185" s="36" t="str">
        <f t="shared" ca="1" si="12"/>
        <v>N/A</v>
      </c>
      <c r="L185" s="10"/>
      <c r="M185" s="11"/>
      <c r="N185" s="9"/>
      <c r="O185" s="9" t="str">
        <f t="shared" ca="1" si="13"/>
        <v>N/A</v>
      </c>
      <c r="P185" s="10"/>
      <c r="Q185" s="11"/>
      <c r="R185" s="11"/>
      <c r="S185" s="11"/>
      <c r="T185" s="9"/>
      <c r="U185" s="9" t="str">
        <f t="shared" ca="1" si="14"/>
        <v>N/A</v>
      </c>
      <c r="V185" s="10"/>
      <c r="W185" s="11"/>
      <c r="X185" s="9"/>
      <c r="Y185" s="9"/>
      <c r="Z185" s="9"/>
      <c r="AA185" s="10"/>
      <c r="AB185" s="10"/>
      <c r="AC185" s="11"/>
    </row>
    <row r="186" spans="2:29" ht="15" customHeight="1">
      <c r="B186" s="9" t="str">
        <f t="shared" si="10"/>
        <v/>
      </c>
      <c r="C186" s="11"/>
      <c r="D186" s="9"/>
      <c r="E186" s="9"/>
      <c r="F186" s="10"/>
      <c r="G186" s="11"/>
      <c r="H186" s="36" t="str">
        <f t="shared" ca="1" si="11"/>
        <v>N/A</v>
      </c>
      <c r="I186" s="10"/>
      <c r="J186" s="9"/>
      <c r="K186" s="36" t="str">
        <f t="shared" ca="1" si="12"/>
        <v>N/A</v>
      </c>
      <c r="L186" s="10"/>
      <c r="M186" s="11"/>
      <c r="N186" s="9"/>
      <c r="O186" s="9" t="str">
        <f t="shared" ca="1" si="13"/>
        <v>N/A</v>
      </c>
      <c r="P186" s="10"/>
      <c r="Q186" s="11"/>
      <c r="R186" s="11"/>
      <c r="S186" s="11"/>
      <c r="T186" s="9"/>
      <c r="U186" s="9" t="str">
        <f t="shared" ca="1" si="14"/>
        <v>N/A</v>
      </c>
      <c r="V186" s="10"/>
      <c r="W186" s="11"/>
      <c r="X186" s="9"/>
      <c r="Y186" s="9"/>
      <c r="Z186" s="9"/>
      <c r="AA186" s="10"/>
      <c r="AB186" s="10"/>
      <c r="AC186" s="11"/>
    </row>
    <row r="187" spans="2:29" ht="15" customHeight="1">
      <c r="B187" s="9" t="str">
        <f t="shared" si="10"/>
        <v/>
      </c>
      <c r="C187" s="11"/>
      <c r="D187" s="9"/>
      <c r="E187" s="9"/>
      <c r="F187" s="10"/>
      <c r="G187" s="11"/>
      <c r="H187" s="36" t="str">
        <f t="shared" ca="1" si="11"/>
        <v>N/A</v>
      </c>
      <c r="I187" s="10"/>
      <c r="J187" s="9"/>
      <c r="K187" s="36" t="str">
        <f t="shared" ca="1" si="12"/>
        <v>N/A</v>
      </c>
      <c r="L187" s="10"/>
      <c r="M187" s="11"/>
      <c r="N187" s="9"/>
      <c r="O187" s="9" t="str">
        <f t="shared" ca="1" si="13"/>
        <v>N/A</v>
      </c>
      <c r="P187" s="10"/>
      <c r="Q187" s="11"/>
      <c r="R187" s="11"/>
      <c r="S187" s="11"/>
      <c r="T187" s="9"/>
      <c r="U187" s="9" t="str">
        <f t="shared" ca="1" si="14"/>
        <v>N/A</v>
      </c>
      <c r="V187" s="10"/>
      <c r="W187" s="11"/>
      <c r="X187" s="9"/>
      <c r="Y187" s="9"/>
      <c r="Z187" s="9"/>
      <c r="AA187" s="10"/>
      <c r="AB187" s="10"/>
      <c r="AC187" s="11"/>
    </row>
    <row r="188" spans="2:29" ht="15" customHeight="1">
      <c r="B188" s="9" t="str">
        <f t="shared" si="10"/>
        <v/>
      </c>
      <c r="C188" s="11"/>
      <c r="D188" s="9"/>
      <c r="E188" s="9"/>
      <c r="F188" s="10"/>
      <c r="G188" s="11"/>
      <c r="H188" s="36" t="str">
        <f t="shared" ca="1" si="11"/>
        <v>N/A</v>
      </c>
      <c r="I188" s="10"/>
      <c r="J188" s="9"/>
      <c r="K188" s="36" t="str">
        <f t="shared" ca="1" si="12"/>
        <v>N/A</v>
      </c>
      <c r="L188" s="10"/>
      <c r="M188" s="11"/>
      <c r="N188" s="9"/>
      <c r="O188" s="9" t="str">
        <f t="shared" ca="1" si="13"/>
        <v>N/A</v>
      </c>
      <c r="P188" s="10"/>
      <c r="Q188" s="11"/>
      <c r="R188" s="11"/>
      <c r="S188" s="11"/>
      <c r="T188" s="9"/>
      <c r="U188" s="9" t="str">
        <f t="shared" ca="1" si="14"/>
        <v>N/A</v>
      </c>
      <c r="V188" s="10"/>
      <c r="W188" s="11"/>
      <c r="X188" s="9"/>
      <c r="Y188" s="9"/>
      <c r="Z188" s="9"/>
      <c r="AA188" s="10"/>
      <c r="AB188" s="10"/>
      <c r="AC188" s="11"/>
    </row>
    <row r="189" spans="2:29" ht="15" customHeight="1">
      <c r="B189" s="9" t="str">
        <f t="shared" si="10"/>
        <v/>
      </c>
      <c r="C189" s="11"/>
      <c r="D189" s="9"/>
      <c r="E189" s="9"/>
      <c r="F189" s="10"/>
      <c r="G189" s="11"/>
      <c r="H189" s="36" t="str">
        <f t="shared" ca="1" si="11"/>
        <v>N/A</v>
      </c>
      <c r="I189" s="10"/>
      <c r="J189" s="9"/>
      <c r="K189" s="36" t="str">
        <f t="shared" ca="1" si="12"/>
        <v>N/A</v>
      </c>
      <c r="L189" s="10"/>
      <c r="M189" s="11"/>
      <c r="N189" s="9"/>
      <c r="O189" s="9" t="str">
        <f t="shared" ca="1" si="13"/>
        <v>N/A</v>
      </c>
      <c r="P189" s="10"/>
      <c r="Q189" s="11"/>
      <c r="R189" s="11"/>
      <c r="S189" s="11"/>
      <c r="T189" s="9"/>
      <c r="U189" s="9" t="str">
        <f t="shared" ca="1" si="14"/>
        <v>N/A</v>
      </c>
      <c r="V189" s="10"/>
      <c r="W189" s="11"/>
      <c r="X189" s="9"/>
      <c r="Y189" s="9"/>
      <c r="Z189" s="9"/>
      <c r="AA189" s="10"/>
      <c r="AB189" s="10"/>
      <c r="AC189" s="11"/>
    </row>
    <row r="190" spans="2:29" ht="15" customHeight="1">
      <c r="B190" s="9" t="str">
        <f t="shared" si="10"/>
        <v/>
      </c>
      <c r="C190" s="11"/>
      <c r="D190" s="9"/>
      <c r="E190" s="9"/>
      <c r="F190" s="10"/>
      <c r="G190" s="11"/>
      <c r="H190" s="36" t="str">
        <f t="shared" ca="1" si="11"/>
        <v>N/A</v>
      </c>
      <c r="I190" s="10"/>
      <c r="J190" s="9"/>
      <c r="K190" s="36" t="str">
        <f t="shared" ca="1" si="12"/>
        <v>N/A</v>
      </c>
      <c r="L190" s="10"/>
      <c r="M190" s="11"/>
      <c r="N190" s="9"/>
      <c r="O190" s="9" t="str">
        <f t="shared" ca="1" si="13"/>
        <v>N/A</v>
      </c>
      <c r="P190" s="10"/>
      <c r="Q190" s="11"/>
      <c r="R190" s="11"/>
      <c r="S190" s="11"/>
      <c r="T190" s="9"/>
      <c r="U190" s="9" t="str">
        <f t="shared" ca="1" si="14"/>
        <v>N/A</v>
      </c>
      <c r="V190" s="10"/>
      <c r="W190" s="11"/>
      <c r="X190" s="9"/>
      <c r="Y190" s="9"/>
      <c r="Z190" s="9"/>
      <c r="AA190" s="10"/>
      <c r="AB190" s="10"/>
      <c r="AC190" s="11"/>
    </row>
    <row r="191" spans="2:29" ht="15" customHeight="1">
      <c r="B191" s="9" t="str">
        <f t="shared" si="10"/>
        <v/>
      </c>
      <c r="C191" s="11"/>
      <c r="D191" s="9"/>
      <c r="E191" s="9"/>
      <c r="F191" s="10"/>
      <c r="G191" s="11"/>
      <c r="H191" s="36" t="str">
        <f t="shared" ca="1" si="11"/>
        <v>N/A</v>
      </c>
      <c r="I191" s="10"/>
      <c r="J191" s="9"/>
      <c r="K191" s="36" t="str">
        <f t="shared" ca="1" si="12"/>
        <v>N/A</v>
      </c>
      <c r="L191" s="10"/>
      <c r="M191" s="11"/>
      <c r="N191" s="9"/>
      <c r="O191" s="9" t="str">
        <f t="shared" ca="1" si="13"/>
        <v>N/A</v>
      </c>
      <c r="P191" s="10"/>
      <c r="Q191" s="11"/>
      <c r="R191" s="11"/>
      <c r="S191" s="11"/>
      <c r="T191" s="9"/>
      <c r="U191" s="9" t="str">
        <f t="shared" ca="1" si="14"/>
        <v>N/A</v>
      </c>
      <c r="V191" s="10"/>
      <c r="W191" s="11"/>
      <c r="X191" s="9"/>
      <c r="Y191" s="9"/>
      <c r="Z191" s="9"/>
      <c r="AA191" s="10"/>
      <c r="AB191" s="10"/>
      <c r="AC191" s="11"/>
    </row>
    <row r="192" spans="2:29" ht="15" customHeight="1">
      <c r="B192" s="9" t="str">
        <f t="shared" si="10"/>
        <v/>
      </c>
      <c r="C192" s="11"/>
      <c r="D192" s="9"/>
      <c r="E192" s="9"/>
      <c r="F192" s="10"/>
      <c r="G192" s="11"/>
      <c r="H192" s="36" t="str">
        <f t="shared" ca="1" si="11"/>
        <v>N/A</v>
      </c>
      <c r="I192" s="10"/>
      <c r="J192" s="9"/>
      <c r="K192" s="36" t="str">
        <f t="shared" ca="1" si="12"/>
        <v>N/A</v>
      </c>
      <c r="L192" s="10"/>
      <c r="M192" s="11"/>
      <c r="N192" s="9"/>
      <c r="O192" s="9" t="str">
        <f t="shared" ca="1" si="13"/>
        <v>N/A</v>
      </c>
      <c r="P192" s="10"/>
      <c r="Q192" s="11"/>
      <c r="R192" s="11"/>
      <c r="S192" s="11"/>
      <c r="T192" s="9"/>
      <c r="U192" s="9" t="str">
        <f t="shared" ca="1" si="14"/>
        <v>N/A</v>
      </c>
      <c r="V192" s="10"/>
      <c r="W192" s="11"/>
      <c r="X192" s="9"/>
      <c r="Y192" s="9"/>
      <c r="Z192" s="9"/>
      <c r="AA192" s="10"/>
      <c r="AB192" s="10"/>
      <c r="AC192" s="11"/>
    </row>
    <row r="193" spans="2:29" ht="15" customHeight="1">
      <c r="B193" s="9" t="str">
        <f t="shared" si="10"/>
        <v/>
      </c>
      <c r="C193" s="11"/>
      <c r="D193" s="9"/>
      <c r="E193" s="9"/>
      <c r="F193" s="10"/>
      <c r="G193" s="11"/>
      <c r="H193" s="36" t="str">
        <f t="shared" ca="1" si="11"/>
        <v>N/A</v>
      </c>
      <c r="I193" s="10"/>
      <c r="J193" s="9"/>
      <c r="K193" s="36" t="str">
        <f t="shared" ca="1" si="12"/>
        <v>N/A</v>
      </c>
      <c r="L193" s="10"/>
      <c r="M193" s="11"/>
      <c r="N193" s="9"/>
      <c r="O193" s="9" t="str">
        <f t="shared" ca="1" si="13"/>
        <v>N/A</v>
      </c>
      <c r="P193" s="10"/>
      <c r="Q193" s="11"/>
      <c r="R193" s="11"/>
      <c r="S193" s="11"/>
      <c r="T193" s="9"/>
      <c r="U193" s="9" t="str">
        <f t="shared" ca="1" si="14"/>
        <v>N/A</v>
      </c>
      <c r="V193" s="10"/>
      <c r="W193" s="11"/>
      <c r="X193" s="9"/>
      <c r="Y193" s="9"/>
      <c r="Z193" s="9"/>
      <c r="AA193" s="10"/>
      <c r="AB193" s="10"/>
      <c r="AC193" s="11"/>
    </row>
    <row r="194" spans="2:29" ht="15" customHeight="1">
      <c r="B194" s="9" t="str">
        <f t="shared" si="10"/>
        <v/>
      </c>
      <c r="C194" s="11"/>
      <c r="D194" s="9"/>
      <c r="E194" s="9"/>
      <c r="F194" s="10"/>
      <c r="G194" s="11"/>
      <c r="H194" s="36" t="str">
        <f t="shared" ca="1" si="11"/>
        <v>N/A</v>
      </c>
      <c r="I194" s="10"/>
      <c r="J194" s="9"/>
      <c r="K194" s="36" t="str">
        <f t="shared" ca="1" si="12"/>
        <v>N/A</v>
      </c>
      <c r="L194" s="10"/>
      <c r="M194" s="11"/>
      <c r="N194" s="9"/>
      <c r="O194" s="9" t="str">
        <f t="shared" ca="1" si="13"/>
        <v>N/A</v>
      </c>
      <c r="P194" s="10"/>
      <c r="Q194" s="11"/>
      <c r="R194" s="11"/>
      <c r="S194" s="11"/>
      <c r="T194" s="9"/>
      <c r="U194" s="9" t="str">
        <f t="shared" ca="1" si="14"/>
        <v>N/A</v>
      </c>
      <c r="V194" s="10"/>
      <c r="W194" s="11"/>
      <c r="X194" s="9"/>
      <c r="Y194" s="9"/>
      <c r="Z194" s="9"/>
      <c r="AA194" s="10"/>
      <c r="AB194" s="10"/>
      <c r="AC194" s="11"/>
    </row>
    <row r="195" spans="2:29" ht="15" customHeight="1">
      <c r="B195" s="9" t="str">
        <f t="shared" si="10"/>
        <v/>
      </c>
      <c r="C195" s="11"/>
      <c r="D195" s="9"/>
      <c r="E195" s="9"/>
      <c r="F195" s="10"/>
      <c r="G195" s="11"/>
      <c r="H195" s="36" t="str">
        <f t="shared" ca="1" si="11"/>
        <v>N/A</v>
      </c>
      <c r="I195" s="10"/>
      <c r="J195" s="9"/>
      <c r="K195" s="36" t="str">
        <f t="shared" ca="1" si="12"/>
        <v>N/A</v>
      </c>
      <c r="L195" s="10"/>
      <c r="M195" s="11"/>
      <c r="N195" s="9"/>
      <c r="O195" s="9" t="str">
        <f t="shared" ca="1" si="13"/>
        <v>N/A</v>
      </c>
      <c r="P195" s="10"/>
      <c r="Q195" s="11"/>
      <c r="R195" s="11"/>
      <c r="S195" s="11"/>
      <c r="T195" s="9"/>
      <c r="U195" s="9" t="str">
        <f t="shared" ca="1" si="14"/>
        <v>N/A</v>
      </c>
      <c r="V195" s="10"/>
      <c r="W195" s="11"/>
      <c r="X195" s="9"/>
      <c r="Y195" s="9"/>
      <c r="Z195" s="9"/>
      <c r="AA195" s="10"/>
      <c r="AB195" s="10"/>
      <c r="AC195" s="11"/>
    </row>
    <row r="196" spans="2:29" ht="15" customHeight="1">
      <c r="B196" s="9" t="str">
        <f t="shared" si="10"/>
        <v/>
      </c>
      <c r="C196" s="11"/>
      <c r="D196" s="9"/>
      <c r="E196" s="9"/>
      <c r="F196" s="10"/>
      <c r="G196" s="11"/>
      <c r="H196" s="36" t="str">
        <f t="shared" ca="1" si="11"/>
        <v>N/A</v>
      </c>
      <c r="I196" s="10"/>
      <c r="J196" s="9"/>
      <c r="K196" s="36" t="str">
        <f t="shared" ca="1" si="12"/>
        <v>N/A</v>
      </c>
      <c r="L196" s="10"/>
      <c r="M196" s="11"/>
      <c r="N196" s="9"/>
      <c r="O196" s="9" t="str">
        <f t="shared" ca="1" si="13"/>
        <v>N/A</v>
      </c>
      <c r="P196" s="10"/>
      <c r="Q196" s="11"/>
      <c r="R196" s="11"/>
      <c r="S196" s="11"/>
      <c r="T196" s="9"/>
      <c r="U196" s="9" t="str">
        <f t="shared" ca="1" si="14"/>
        <v>N/A</v>
      </c>
      <c r="V196" s="10"/>
      <c r="W196" s="11"/>
      <c r="X196" s="9"/>
      <c r="Y196" s="9"/>
      <c r="Z196" s="9"/>
      <c r="AA196" s="10"/>
      <c r="AB196" s="10"/>
      <c r="AC196" s="11"/>
    </row>
    <row r="197" spans="2:29" ht="15" customHeight="1">
      <c r="B197" s="9" t="str">
        <f t="shared" si="10"/>
        <v/>
      </c>
      <c r="C197" s="11"/>
      <c r="D197" s="9"/>
      <c r="E197" s="9"/>
      <c r="F197" s="10"/>
      <c r="G197" s="11"/>
      <c r="H197" s="36" t="str">
        <f t="shared" ca="1" si="11"/>
        <v>N/A</v>
      </c>
      <c r="I197" s="10"/>
      <c r="J197" s="9"/>
      <c r="K197" s="36" t="str">
        <f t="shared" ca="1" si="12"/>
        <v>N/A</v>
      </c>
      <c r="L197" s="10"/>
      <c r="M197" s="11"/>
      <c r="N197" s="9"/>
      <c r="O197" s="9" t="str">
        <f t="shared" ca="1" si="13"/>
        <v>N/A</v>
      </c>
      <c r="P197" s="10"/>
      <c r="Q197" s="11"/>
      <c r="R197" s="11"/>
      <c r="S197" s="11"/>
      <c r="T197" s="9"/>
      <c r="U197" s="9" t="str">
        <f t="shared" ca="1" si="14"/>
        <v>N/A</v>
      </c>
      <c r="V197" s="10"/>
      <c r="W197" s="11"/>
      <c r="X197" s="9"/>
      <c r="Y197" s="9"/>
      <c r="Z197" s="9"/>
      <c r="AA197" s="10"/>
      <c r="AB197" s="10"/>
      <c r="AC197" s="11"/>
    </row>
    <row r="198" spans="2:29" ht="15" customHeight="1">
      <c r="B198" s="9" t="str">
        <f t="shared" si="10"/>
        <v/>
      </c>
      <c r="C198" s="11"/>
      <c r="D198" s="9"/>
      <c r="E198" s="9"/>
      <c r="F198" s="10"/>
      <c r="G198" s="11"/>
      <c r="H198" s="36" t="str">
        <f t="shared" ca="1" si="11"/>
        <v>N/A</v>
      </c>
      <c r="I198" s="10"/>
      <c r="J198" s="9"/>
      <c r="K198" s="36" t="str">
        <f t="shared" ca="1" si="12"/>
        <v>N/A</v>
      </c>
      <c r="L198" s="10"/>
      <c r="M198" s="11"/>
      <c r="N198" s="9"/>
      <c r="O198" s="9" t="str">
        <f t="shared" ca="1" si="13"/>
        <v>N/A</v>
      </c>
      <c r="P198" s="10"/>
      <c r="Q198" s="11"/>
      <c r="R198" s="11"/>
      <c r="S198" s="11"/>
      <c r="T198" s="9"/>
      <c r="U198" s="9" t="str">
        <f t="shared" ca="1" si="14"/>
        <v>N/A</v>
      </c>
      <c r="V198" s="10"/>
      <c r="W198" s="11"/>
      <c r="X198" s="9"/>
      <c r="Y198" s="9"/>
      <c r="Z198" s="9"/>
      <c r="AA198" s="10"/>
      <c r="AB198" s="10"/>
      <c r="AC198" s="11"/>
    </row>
    <row r="199" spans="2:29" ht="15" customHeight="1">
      <c r="B199" s="9" t="str">
        <f t="shared" si="10"/>
        <v/>
      </c>
      <c r="C199" s="11"/>
      <c r="D199" s="9"/>
      <c r="E199" s="9"/>
      <c r="F199" s="10"/>
      <c r="G199" s="11"/>
      <c r="H199" s="36" t="str">
        <f t="shared" ca="1" si="11"/>
        <v>N/A</v>
      </c>
      <c r="I199" s="10"/>
      <c r="J199" s="9"/>
      <c r="K199" s="36" t="str">
        <f t="shared" ca="1" si="12"/>
        <v>N/A</v>
      </c>
      <c r="L199" s="10"/>
      <c r="M199" s="11"/>
      <c r="N199" s="9"/>
      <c r="O199" s="9" t="str">
        <f t="shared" ca="1" si="13"/>
        <v>N/A</v>
      </c>
      <c r="P199" s="10"/>
      <c r="Q199" s="11"/>
      <c r="R199" s="11"/>
      <c r="S199" s="11"/>
      <c r="T199" s="9"/>
      <c r="U199" s="9" t="str">
        <f t="shared" ca="1" si="14"/>
        <v>N/A</v>
      </c>
      <c r="V199" s="10"/>
      <c r="W199" s="11"/>
      <c r="X199" s="9"/>
      <c r="Y199" s="9"/>
      <c r="Z199" s="9"/>
      <c r="AA199" s="10"/>
      <c r="AB199" s="10"/>
      <c r="AC199" s="11"/>
    </row>
    <row r="200" spans="2:29" ht="15" customHeight="1">
      <c r="B200" s="9" t="str">
        <f t="shared" ref="B200:B256" si="15">IF(C200="","","FDE-"&amp;TEXT(ROW()-7,"000"))</f>
        <v/>
      </c>
      <c r="C200" s="11"/>
      <c r="D200" s="9"/>
      <c r="E200" s="9"/>
      <c r="F200" s="10"/>
      <c r="G200" s="11"/>
      <c r="H200" s="36" t="str">
        <f t="shared" ca="1" si="11"/>
        <v>N/A</v>
      </c>
      <c r="I200" s="10"/>
      <c r="J200" s="9"/>
      <c r="K200" s="36" t="str">
        <f t="shared" ca="1" si="12"/>
        <v>N/A</v>
      </c>
      <c r="L200" s="10"/>
      <c r="M200" s="11"/>
      <c r="N200" s="9"/>
      <c r="O200" s="9" t="str">
        <f t="shared" ca="1" si="13"/>
        <v>N/A</v>
      </c>
      <c r="P200" s="10"/>
      <c r="Q200" s="11"/>
      <c r="R200" s="11"/>
      <c r="S200" s="11"/>
      <c r="T200" s="9"/>
      <c r="U200" s="9" t="str">
        <f t="shared" ca="1" si="14"/>
        <v>N/A</v>
      </c>
      <c r="V200" s="10"/>
      <c r="W200" s="11"/>
      <c r="X200" s="9"/>
      <c r="Y200" s="9"/>
      <c r="Z200" s="9"/>
      <c r="AA200" s="10"/>
      <c r="AB200" s="10"/>
      <c r="AC200" s="11"/>
    </row>
    <row r="201" spans="2:29" ht="15" customHeight="1">
      <c r="B201" s="9" t="str">
        <f t="shared" si="15"/>
        <v/>
      </c>
      <c r="C201" s="11"/>
      <c r="D201" s="9"/>
      <c r="E201" s="9"/>
      <c r="F201" s="10"/>
      <c r="G201" s="11"/>
      <c r="H201" s="36" t="str">
        <f t="shared" ref="H201:H256" ca="1" si="16">IF(OR(F201="",F201&gt;TODAY()),"N/A",IF(I201="",TODAY()-F201,I201-F201))</f>
        <v>N/A</v>
      </c>
      <c r="I201" s="10"/>
      <c r="J201" s="9"/>
      <c r="K201" s="36" t="str">
        <f t="shared" ref="K201:K256" ca="1" si="17">IF(OR(J201="Fail",I201="",I201&gt;TODAY()),"N/A",IF(L201="",TODAY()-I201,L201-I201))</f>
        <v>N/A</v>
      </c>
      <c r="L201" s="10"/>
      <c r="M201" s="11"/>
      <c r="N201" s="9"/>
      <c r="O201" s="9" t="str">
        <f t="shared" ref="O201:O256" ca="1" si="18">IF(OR(N201="Fail",L201="",L201&gt;TODAY()),"N/A",IF(P201="",TODAY()-L201,P201-L201))</f>
        <v>N/A</v>
      </c>
      <c r="P201" s="10"/>
      <c r="Q201" s="11"/>
      <c r="R201" s="11"/>
      <c r="S201" s="11"/>
      <c r="T201" s="9"/>
      <c r="U201" s="9" t="str">
        <f t="shared" ref="U201:U256" ca="1" si="19">IF(OR(T201="Fail",P201="",P201&gt;TODAY()),"N/A",IF(V201="",TODAY()-P201,V201-P201))</f>
        <v>N/A</v>
      </c>
      <c r="V201" s="10"/>
      <c r="W201" s="11"/>
      <c r="X201" s="9"/>
      <c r="Y201" s="9"/>
      <c r="Z201" s="9"/>
      <c r="AA201" s="10"/>
      <c r="AB201" s="10"/>
      <c r="AC201" s="11"/>
    </row>
    <row r="202" spans="2:29" ht="15" customHeight="1">
      <c r="B202" s="9" t="str">
        <f t="shared" si="15"/>
        <v/>
      </c>
      <c r="C202" s="11"/>
      <c r="D202" s="9"/>
      <c r="E202" s="9"/>
      <c r="F202" s="10"/>
      <c r="G202" s="11"/>
      <c r="H202" s="36" t="str">
        <f t="shared" ca="1" si="16"/>
        <v>N/A</v>
      </c>
      <c r="I202" s="10"/>
      <c r="J202" s="9"/>
      <c r="K202" s="36" t="str">
        <f t="shared" ca="1" si="17"/>
        <v>N/A</v>
      </c>
      <c r="L202" s="10"/>
      <c r="M202" s="11"/>
      <c r="N202" s="9"/>
      <c r="O202" s="9" t="str">
        <f t="shared" ca="1" si="18"/>
        <v>N/A</v>
      </c>
      <c r="P202" s="10"/>
      <c r="Q202" s="11"/>
      <c r="R202" s="11"/>
      <c r="S202" s="11"/>
      <c r="T202" s="9"/>
      <c r="U202" s="9" t="str">
        <f t="shared" ca="1" si="19"/>
        <v>N/A</v>
      </c>
      <c r="V202" s="10"/>
      <c r="W202" s="11"/>
      <c r="X202" s="9"/>
      <c r="Y202" s="9"/>
      <c r="Z202" s="9"/>
      <c r="AA202" s="10"/>
      <c r="AB202" s="10"/>
      <c r="AC202" s="11"/>
    </row>
    <row r="203" spans="2:29" ht="15" customHeight="1">
      <c r="B203" s="9" t="str">
        <f t="shared" si="15"/>
        <v/>
      </c>
      <c r="C203" s="11"/>
      <c r="D203" s="9"/>
      <c r="E203" s="9"/>
      <c r="F203" s="10"/>
      <c r="G203" s="11"/>
      <c r="H203" s="36" t="str">
        <f t="shared" ca="1" si="16"/>
        <v>N/A</v>
      </c>
      <c r="I203" s="10"/>
      <c r="J203" s="9"/>
      <c r="K203" s="36" t="str">
        <f t="shared" ca="1" si="17"/>
        <v>N/A</v>
      </c>
      <c r="L203" s="10"/>
      <c r="M203" s="11"/>
      <c r="N203" s="9"/>
      <c r="O203" s="9" t="str">
        <f t="shared" ca="1" si="18"/>
        <v>N/A</v>
      </c>
      <c r="P203" s="10"/>
      <c r="Q203" s="11"/>
      <c r="R203" s="11"/>
      <c r="S203" s="11"/>
      <c r="T203" s="9"/>
      <c r="U203" s="9" t="str">
        <f t="shared" ca="1" si="19"/>
        <v>N/A</v>
      </c>
      <c r="V203" s="10"/>
      <c r="W203" s="11"/>
      <c r="X203" s="9"/>
      <c r="Y203" s="9"/>
      <c r="Z203" s="9"/>
      <c r="AA203" s="10"/>
      <c r="AB203" s="10"/>
      <c r="AC203" s="11"/>
    </row>
    <row r="204" spans="2:29" ht="15" customHeight="1">
      <c r="B204" s="9" t="str">
        <f t="shared" si="15"/>
        <v/>
      </c>
      <c r="C204" s="11"/>
      <c r="D204" s="9"/>
      <c r="E204" s="9"/>
      <c r="F204" s="10"/>
      <c r="G204" s="11"/>
      <c r="H204" s="36" t="str">
        <f t="shared" ca="1" si="16"/>
        <v>N/A</v>
      </c>
      <c r="I204" s="10"/>
      <c r="J204" s="9"/>
      <c r="K204" s="36" t="str">
        <f t="shared" ca="1" si="17"/>
        <v>N/A</v>
      </c>
      <c r="L204" s="10"/>
      <c r="M204" s="11"/>
      <c r="N204" s="9"/>
      <c r="O204" s="9" t="str">
        <f t="shared" ca="1" si="18"/>
        <v>N/A</v>
      </c>
      <c r="P204" s="10"/>
      <c r="Q204" s="11"/>
      <c r="R204" s="11"/>
      <c r="S204" s="11"/>
      <c r="T204" s="9"/>
      <c r="U204" s="9" t="str">
        <f t="shared" ca="1" si="19"/>
        <v>N/A</v>
      </c>
      <c r="V204" s="10"/>
      <c r="W204" s="11"/>
      <c r="X204" s="9"/>
      <c r="Y204" s="9"/>
      <c r="Z204" s="9"/>
      <c r="AA204" s="10"/>
      <c r="AB204" s="10"/>
      <c r="AC204" s="11"/>
    </row>
    <row r="205" spans="2:29" ht="15" customHeight="1">
      <c r="B205" s="9" t="str">
        <f t="shared" si="15"/>
        <v/>
      </c>
      <c r="C205" s="11"/>
      <c r="D205" s="9"/>
      <c r="E205" s="9"/>
      <c r="F205" s="10"/>
      <c r="G205" s="11"/>
      <c r="H205" s="36" t="str">
        <f t="shared" ca="1" si="16"/>
        <v>N/A</v>
      </c>
      <c r="I205" s="10"/>
      <c r="J205" s="9"/>
      <c r="K205" s="36" t="str">
        <f t="shared" ca="1" si="17"/>
        <v>N/A</v>
      </c>
      <c r="L205" s="10"/>
      <c r="M205" s="11"/>
      <c r="N205" s="9"/>
      <c r="O205" s="9" t="str">
        <f t="shared" ca="1" si="18"/>
        <v>N/A</v>
      </c>
      <c r="P205" s="10"/>
      <c r="Q205" s="11"/>
      <c r="R205" s="11"/>
      <c r="S205" s="11"/>
      <c r="T205" s="9"/>
      <c r="U205" s="9" t="str">
        <f t="shared" ca="1" si="19"/>
        <v>N/A</v>
      </c>
      <c r="V205" s="10"/>
      <c r="W205" s="11"/>
      <c r="X205" s="9"/>
      <c r="Y205" s="9"/>
      <c r="Z205" s="9"/>
      <c r="AA205" s="10"/>
      <c r="AB205" s="10"/>
      <c r="AC205" s="11"/>
    </row>
    <row r="206" spans="2:29" ht="15" customHeight="1">
      <c r="B206" s="9" t="str">
        <f t="shared" si="15"/>
        <v/>
      </c>
      <c r="C206" s="11"/>
      <c r="D206" s="9"/>
      <c r="E206" s="9"/>
      <c r="F206" s="10"/>
      <c r="G206" s="11"/>
      <c r="H206" s="36" t="str">
        <f t="shared" ca="1" si="16"/>
        <v>N/A</v>
      </c>
      <c r="I206" s="10"/>
      <c r="J206" s="9"/>
      <c r="K206" s="36" t="str">
        <f t="shared" ca="1" si="17"/>
        <v>N/A</v>
      </c>
      <c r="L206" s="10"/>
      <c r="M206" s="11"/>
      <c r="N206" s="9"/>
      <c r="O206" s="9" t="str">
        <f t="shared" ca="1" si="18"/>
        <v>N/A</v>
      </c>
      <c r="P206" s="10"/>
      <c r="Q206" s="11"/>
      <c r="R206" s="11"/>
      <c r="S206" s="11"/>
      <c r="T206" s="9"/>
      <c r="U206" s="9" t="str">
        <f t="shared" ca="1" si="19"/>
        <v>N/A</v>
      </c>
      <c r="V206" s="10"/>
      <c r="W206" s="11"/>
      <c r="X206" s="9"/>
      <c r="Y206" s="9"/>
      <c r="Z206" s="9"/>
      <c r="AA206" s="10"/>
      <c r="AB206" s="10"/>
      <c r="AC206" s="11"/>
    </row>
    <row r="207" spans="2:29" ht="15" customHeight="1">
      <c r="B207" s="9" t="str">
        <f t="shared" si="15"/>
        <v/>
      </c>
      <c r="C207" s="11"/>
      <c r="D207" s="9"/>
      <c r="E207" s="9"/>
      <c r="F207" s="10"/>
      <c r="G207" s="11"/>
      <c r="H207" s="36" t="str">
        <f t="shared" ca="1" si="16"/>
        <v>N/A</v>
      </c>
      <c r="I207" s="10"/>
      <c r="J207" s="9"/>
      <c r="K207" s="36" t="str">
        <f t="shared" ca="1" si="17"/>
        <v>N/A</v>
      </c>
      <c r="L207" s="10"/>
      <c r="M207" s="11"/>
      <c r="N207" s="9"/>
      <c r="O207" s="9" t="str">
        <f t="shared" ca="1" si="18"/>
        <v>N/A</v>
      </c>
      <c r="P207" s="10"/>
      <c r="Q207" s="11"/>
      <c r="R207" s="11"/>
      <c r="S207" s="11"/>
      <c r="T207" s="9"/>
      <c r="U207" s="9" t="str">
        <f t="shared" ca="1" si="19"/>
        <v>N/A</v>
      </c>
      <c r="V207" s="10"/>
      <c r="W207" s="11"/>
      <c r="X207" s="9"/>
      <c r="Y207" s="9"/>
      <c r="Z207" s="9"/>
      <c r="AA207" s="10"/>
      <c r="AB207" s="10"/>
      <c r="AC207" s="11"/>
    </row>
    <row r="208" spans="2:29" ht="15" customHeight="1">
      <c r="B208" s="9" t="str">
        <f t="shared" si="15"/>
        <v/>
      </c>
      <c r="C208" s="11"/>
      <c r="D208" s="9"/>
      <c r="E208" s="9"/>
      <c r="F208" s="10"/>
      <c r="G208" s="11"/>
      <c r="H208" s="36" t="str">
        <f t="shared" ca="1" si="16"/>
        <v>N/A</v>
      </c>
      <c r="I208" s="10"/>
      <c r="J208" s="9"/>
      <c r="K208" s="36" t="str">
        <f t="shared" ca="1" si="17"/>
        <v>N/A</v>
      </c>
      <c r="L208" s="10"/>
      <c r="M208" s="11"/>
      <c r="N208" s="9"/>
      <c r="O208" s="9" t="str">
        <f t="shared" ca="1" si="18"/>
        <v>N/A</v>
      </c>
      <c r="P208" s="10"/>
      <c r="Q208" s="11"/>
      <c r="R208" s="11"/>
      <c r="S208" s="11"/>
      <c r="T208" s="9"/>
      <c r="U208" s="9" t="str">
        <f t="shared" ca="1" si="19"/>
        <v>N/A</v>
      </c>
      <c r="V208" s="10"/>
      <c r="W208" s="11"/>
      <c r="X208" s="9"/>
      <c r="Y208" s="9"/>
      <c r="Z208" s="9"/>
      <c r="AA208" s="10"/>
      <c r="AB208" s="10"/>
      <c r="AC208" s="11"/>
    </row>
    <row r="209" spans="2:29" ht="15" customHeight="1">
      <c r="B209" s="9" t="str">
        <f t="shared" si="15"/>
        <v/>
      </c>
      <c r="C209" s="11"/>
      <c r="D209" s="9"/>
      <c r="E209" s="9"/>
      <c r="F209" s="10"/>
      <c r="G209" s="11"/>
      <c r="H209" s="36" t="str">
        <f t="shared" ca="1" si="16"/>
        <v>N/A</v>
      </c>
      <c r="I209" s="10"/>
      <c r="J209" s="9"/>
      <c r="K209" s="36" t="str">
        <f t="shared" ca="1" si="17"/>
        <v>N/A</v>
      </c>
      <c r="L209" s="10"/>
      <c r="M209" s="11"/>
      <c r="N209" s="9"/>
      <c r="O209" s="9" t="str">
        <f t="shared" ca="1" si="18"/>
        <v>N/A</v>
      </c>
      <c r="P209" s="10"/>
      <c r="Q209" s="11"/>
      <c r="R209" s="11"/>
      <c r="S209" s="11"/>
      <c r="T209" s="9"/>
      <c r="U209" s="9" t="str">
        <f t="shared" ca="1" si="19"/>
        <v>N/A</v>
      </c>
      <c r="V209" s="10"/>
      <c r="W209" s="11"/>
      <c r="X209" s="9"/>
      <c r="Y209" s="9"/>
      <c r="Z209" s="9"/>
      <c r="AA209" s="10"/>
      <c r="AB209" s="10"/>
      <c r="AC209" s="11"/>
    </row>
    <row r="210" spans="2:29" ht="15" customHeight="1">
      <c r="B210" s="9" t="str">
        <f t="shared" si="15"/>
        <v/>
      </c>
      <c r="C210" s="11"/>
      <c r="D210" s="9"/>
      <c r="E210" s="9"/>
      <c r="F210" s="10"/>
      <c r="G210" s="11"/>
      <c r="H210" s="36" t="str">
        <f t="shared" ca="1" si="16"/>
        <v>N/A</v>
      </c>
      <c r="I210" s="10"/>
      <c r="J210" s="9"/>
      <c r="K210" s="36" t="str">
        <f t="shared" ca="1" si="17"/>
        <v>N/A</v>
      </c>
      <c r="L210" s="10"/>
      <c r="M210" s="11"/>
      <c r="N210" s="9"/>
      <c r="O210" s="9" t="str">
        <f t="shared" ca="1" si="18"/>
        <v>N/A</v>
      </c>
      <c r="P210" s="10"/>
      <c r="Q210" s="11"/>
      <c r="R210" s="11"/>
      <c r="S210" s="11"/>
      <c r="T210" s="9"/>
      <c r="U210" s="9" t="str">
        <f t="shared" ca="1" si="19"/>
        <v>N/A</v>
      </c>
      <c r="V210" s="10"/>
      <c r="W210" s="11"/>
      <c r="X210" s="9"/>
      <c r="Y210" s="9"/>
      <c r="Z210" s="9"/>
      <c r="AA210" s="10"/>
      <c r="AB210" s="10"/>
      <c r="AC210" s="11"/>
    </row>
    <row r="211" spans="2:29" ht="15" customHeight="1">
      <c r="B211" s="9" t="str">
        <f t="shared" si="15"/>
        <v/>
      </c>
      <c r="C211" s="11"/>
      <c r="D211" s="9"/>
      <c r="E211" s="9"/>
      <c r="F211" s="10"/>
      <c r="G211" s="11"/>
      <c r="H211" s="36" t="str">
        <f t="shared" ca="1" si="16"/>
        <v>N/A</v>
      </c>
      <c r="I211" s="10"/>
      <c r="J211" s="9"/>
      <c r="K211" s="36" t="str">
        <f t="shared" ca="1" si="17"/>
        <v>N/A</v>
      </c>
      <c r="L211" s="10"/>
      <c r="M211" s="11"/>
      <c r="N211" s="9"/>
      <c r="O211" s="9" t="str">
        <f t="shared" ca="1" si="18"/>
        <v>N/A</v>
      </c>
      <c r="P211" s="10"/>
      <c r="Q211" s="11"/>
      <c r="R211" s="11"/>
      <c r="S211" s="11"/>
      <c r="T211" s="9"/>
      <c r="U211" s="9" t="str">
        <f t="shared" ca="1" si="19"/>
        <v>N/A</v>
      </c>
      <c r="V211" s="10"/>
      <c r="W211" s="11"/>
      <c r="X211" s="9"/>
      <c r="Y211" s="9"/>
      <c r="Z211" s="9"/>
      <c r="AA211" s="10"/>
      <c r="AB211" s="10"/>
      <c r="AC211" s="11"/>
    </row>
    <row r="212" spans="2:29" ht="15" customHeight="1">
      <c r="B212" s="9" t="str">
        <f t="shared" si="15"/>
        <v/>
      </c>
      <c r="C212" s="11"/>
      <c r="D212" s="9"/>
      <c r="E212" s="9"/>
      <c r="F212" s="10"/>
      <c r="G212" s="11"/>
      <c r="H212" s="36" t="str">
        <f t="shared" ca="1" si="16"/>
        <v>N/A</v>
      </c>
      <c r="I212" s="10"/>
      <c r="J212" s="9"/>
      <c r="K212" s="36" t="str">
        <f t="shared" ca="1" si="17"/>
        <v>N/A</v>
      </c>
      <c r="L212" s="10"/>
      <c r="M212" s="11"/>
      <c r="N212" s="9"/>
      <c r="O212" s="9" t="str">
        <f t="shared" ca="1" si="18"/>
        <v>N/A</v>
      </c>
      <c r="P212" s="10"/>
      <c r="Q212" s="11"/>
      <c r="R212" s="11"/>
      <c r="S212" s="11"/>
      <c r="T212" s="9"/>
      <c r="U212" s="9" t="str">
        <f t="shared" ca="1" si="19"/>
        <v>N/A</v>
      </c>
      <c r="V212" s="10"/>
      <c r="W212" s="11"/>
      <c r="X212" s="9"/>
      <c r="Y212" s="9"/>
      <c r="Z212" s="9"/>
      <c r="AA212" s="10"/>
      <c r="AB212" s="10"/>
      <c r="AC212" s="11"/>
    </row>
    <row r="213" spans="2:29" ht="15" customHeight="1">
      <c r="B213" s="9" t="str">
        <f t="shared" si="15"/>
        <v/>
      </c>
      <c r="C213" s="11"/>
      <c r="D213" s="9"/>
      <c r="E213" s="9"/>
      <c r="F213" s="10"/>
      <c r="G213" s="11"/>
      <c r="H213" s="36" t="str">
        <f t="shared" ca="1" si="16"/>
        <v>N/A</v>
      </c>
      <c r="I213" s="10"/>
      <c r="J213" s="9"/>
      <c r="K213" s="36" t="str">
        <f t="shared" ca="1" si="17"/>
        <v>N/A</v>
      </c>
      <c r="L213" s="10"/>
      <c r="M213" s="11"/>
      <c r="N213" s="9"/>
      <c r="O213" s="9" t="str">
        <f t="shared" ca="1" si="18"/>
        <v>N/A</v>
      </c>
      <c r="P213" s="10"/>
      <c r="Q213" s="11"/>
      <c r="R213" s="11"/>
      <c r="S213" s="11"/>
      <c r="T213" s="9"/>
      <c r="U213" s="9" t="str">
        <f t="shared" ca="1" si="19"/>
        <v>N/A</v>
      </c>
      <c r="V213" s="10"/>
      <c r="W213" s="11"/>
      <c r="X213" s="9"/>
      <c r="Y213" s="9"/>
      <c r="Z213" s="9"/>
      <c r="AA213" s="10"/>
      <c r="AB213" s="10"/>
      <c r="AC213" s="11"/>
    </row>
    <row r="214" spans="2:29" ht="15" customHeight="1">
      <c r="B214" s="9" t="str">
        <f t="shared" si="15"/>
        <v/>
      </c>
      <c r="C214" s="11"/>
      <c r="D214" s="9"/>
      <c r="E214" s="9"/>
      <c r="F214" s="10"/>
      <c r="G214" s="11"/>
      <c r="H214" s="36" t="str">
        <f t="shared" ca="1" si="16"/>
        <v>N/A</v>
      </c>
      <c r="I214" s="10"/>
      <c r="J214" s="9"/>
      <c r="K214" s="36" t="str">
        <f t="shared" ca="1" si="17"/>
        <v>N/A</v>
      </c>
      <c r="L214" s="10"/>
      <c r="M214" s="11"/>
      <c r="N214" s="9"/>
      <c r="O214" s="9" t="str">
        <f t="shared" ca="1" si="18"/>
        <v>N/A</v>
      </c>
      <c r="P214" s="10"/>
      <c r="Q214" s="11"/>
      <c r="R214" s="11"/>
      <c r="S214" s="11"/>
      <c r="T214" s="9"/>
      <c r="U214" s="9" t="str">
        <f t="shared" ca="1" si="19"/>
        <v>N/A</v>
      </c>
      <c r="V214" s="10"/>
      <c r="W214" s="11"/>
      <c r="X214" s="9"/>
      <c r="Y214" s="9"/>
      <c r="Z214" s="9"/>
      <c r="AA214" s="10"/>
      <c r="AB214" s="10"/>
      <c r="AC214" s="11"/>
    </row>
    <row r="215" spans="2:29" ht="15" customHeight="1">
      <c r="B215" s="9" t="str">
        <f t="shared" si="15"/>
        <v/>
      </c>
      <c r="C215" s="11"/>
      <c r="D215" s="9"/>
      <c r="E215" s="9"/>
      <c r="F215" s="10"/>
      <c r="G215" s="11"/>
      <c r="H215" s="36" t="str">
        <f t="shared" ca="1" si="16"/>
        <v>N/A</v>
      </c>
      <c r="I215" s="10"/>
      <c r="J215" s="9"/>
      <c r="K215" s="36" t="str">
        <f t="shared" ca="1" si="17"/>
        <v>N/A</v>
      </c>
      <c r="L215" s="10"/>
      <c r="M215" s="11"/>
      <c r="N215" s="9"/>
      <c r="O215" s="9" t="str">
        <f t="shared" ca="1" si="18"/>
        <v>N/A</v>
      </c>
      <c r="P215" s="10"/>
      <c r="Q215" s="11"/>
      <c r="R215" s="11"/>
      <c r="S215" s="11"/>
      <c r="T215" s="9"/>
      <c r="U215" s="9" t="str">
        <f t="shared" ca="1" si="19"/>
        <v>N/A</v>
      </c>
      <c r="V215" s="10"/>
      <c r="W215" s="11"/>
      <c r="X215" s="9"/>
      <c r="Y215" s="9"/>
      <c r="Z215" s="9"/>
      <c r="AA215" s="10"/>
      <c r="AB215" s="10"/>
      <c r="AC215" s="11"/>
    </row>
    <row r="216" spans="2:29" ht="15" customHeight="1">
      <c r="B216" s="9" t="str">
        <f t="shared" si="15"/>
        <v/>
      </c>
      <c r="C216" s="11"/>
      <c r="D216" s="9"/>
      <c r="E216" s="9"/>
      <c r="F216" s="10"/>
      <c r="G216" s="11"/>
      <c r="H216" s="36" t="str">
        <f t="shared" ca="1" si="16"/>
        <v>N/A</v>
      </c>
      <c r="I216" s="10"/>
      <c r="J216" s="9"/>
      <c r="K216" s="36" t="str">
        <f t="shared" ca="1" si="17"/>
        <v>N/A</v>
      </c>
      <c r="L216" s="10"/>
      <c r="M216" s="11"/>
      <c r="N216" s="9"/>
      <c r="O216" s="9" t="str">
        <f t="shared" ca="1" si="18"/>
        <v>N/A</v>
      </c>
      <c r="P216" s="10"/>
      <c r="Q216" s="11"/>
      <c r="R216" s="11"/>
      <c r="S216" s="11"/>
      <c r="T216" s="9"/>
      <c r="U216" s="9" t="str">
        <f t="shared" ca="1" si="19"/>
        <v>N/A</v>
      </c>
      <c r="V216" s="10"/>
      <c r="W216" s="11"/>
      <c r="X216" s="9"/>
      <c r="Y216" s="9"/>
      <c r="Z216" s="9"/>
      <c r="AA216" s="10"/>
      <c r="AB216" s="10"/>
      <c r="AC216" s="11"/>
    </row>
    <row r="217" spans="2:29" ht="15" customHeight="1">
      <c r="B217" s="9" t="str">
        <f t="shared" si="15"/>
        <v/>
      </c>
      <c r="C217" s="11"/>
      <c r="D217" s="9"/>
      <c r="E217" s="9"/>
      <c r="F217" s="10"/>
      <c r="G217" s="11"/>
      <c r="H217" s="36" t="str">
        <f t="shared" ca="1" si="16"/>
        <v>N/A</v>
      </c>
      <c r="I217" s="10"/>
      <c r="J217" s="9"/>
      <c r="K217" s="36" t="str">
        <f t="shared" ca="1" si="17"/>
        <v>N/A</v>
      </c>
      <c r="L217" s="10"/>
      <c r="M217" s="11"/>
      <c r="N217" s="9"/>
      <c r="O217" s="9" t="str">
        <f t="shared" ca="1" si="18"/>
        <v>N/A</v>
      </c>
      <c r="P217" s="10"/>
      <c r="Q217" s="11"/>
      <c r="R217" s="11"/>
      <c r="S217" s="11"/>
      <c r="T217" s="9"/>
      <c r="U217" s="9" t="str">
        <f t="shared" ca="1" si="19"/>
        <v>N/A</v>
      </c>
      <c r="V217" s="10"/>
      <c r="W217" s="11"/>
      <c r="X217" s="9"/>
      <c r="Y217" s="9"/>
      <c r="Z217" s="9"/>
      <c r="AA217" s="10"/>
      <c r="AB217" s="10"/>
      <c r="AC217" s="11"/>
    </row>
    <row r="218" spans="2:29" ht="15" customHeight="1">
      <c r="B218" s="9" t="str">
        <f t="shared" si="15"/>
        <v/>
      </c>
      <c r="C218" s="11"/>
      <c r="D218" s="9"/>
      <c r="E218" s="9"/>
      <c r="F218" s="10"/>
      <c r="G218" s="11"/>
      <c r="H218" s="36" t="str">
        <f t="shared" ca="1" si="16"/>
        <v>N/A</v>
      </c>
      <c r="I218" s="10"/>
      <c r="J218" s="9"/>
      <c r="K218" s="36" t="str">
        <f t="shared" ca="1" si="17"/>
        <v>N/A</v>
      </c>
      <c r="L218" s="10"/>
      <c r="M218" s="11"/>
      <c r="N218" s="9"/>
      <c r="O218" s="9" t="str">
        <f t="shared" ca="1" si="18"/>
        <v>N/A</v>
      </c>
      <c r="P218" s="10"/>
      <c r="Q218" s="11"/>
      <c r="R218" s="11"/>
      <c r="S218" s="11"/>
      <c r="T218" s="9"/>
      <c r="U218" s="9" t="str">
        <f t="shared" ca="1" si="19"/>
        <v>N/A</v>
      </c>
      <c r="V218" s="10"/>
      <c r="W218" s="11"/>
      <c r="X218" s="9"/>
      <c r="Y218" s="9"/>
      <c r="Z218" s="9"/>
      <c r="AA218" s="10"/>
      <c r="AB218" s="10"/>
      <c r="AC218" s="11"/>
    </row>
    <row r="219" spans="2:29" ht="15" customHeight="1">
      <c r="B219" s="9" t="str">
        <f t="shared" si="15"/>
        <v/>
      </c>
      <c r="C219" s="11"/>
      <c r="D219" s="9"/>
      <c r="E219" s="9"/>
      <c r="F219" s="10"/>
      <c r="G219" s="11"/>
      <c r="H219" s="36" t="str">
        <f t="shared" ca="1" si="16"/>
        <v>N/A</v>
      </c>
      <c r="I219" s="10"/>
      <c r="J219" s="9"/>
      <c r="K219" s="36" t="str">
        <f t="shared" ca="1" si="17"/>
        <v>N/A</v>
      </c>
      <c r="L219" s="10"/>
      <c r="M219" s="11"/>
      <c r="N219" s="9"/>
      <c r="O219" s="9" t="str">
        <f t="shared" ca="1" si="18"/>
        <v>N/A</v>
      </c>
      <c r="P219" s="10"/>
      <c r="Q219" s="11"/>
      <c r="R219" s="11"/>
      <c r="S219" s="11"/>
      <c r="T219" s="9"/>
      <c r="U219" s="9" t="str">
        <f t="shared" ca="1" si="19"/>
        <v>N/A</v>
      </c>
      <c r="V219" s="10"/>
      <c r="W219" s="11"/>
      <c r="X219" s="9"/>
      <c r="Y219" s="9"/>
      <c r="Z219" s="9"/>
      <c r="AA219" s="10"/>
      <c r="AB219" s="10"/>
      <c r="AC219" s="11"/>
    </row>
    <row r="220" spans="2:29" ht="15" customHeight="1">
      <c r="B220" s="9" t="str">
        <f t="shared" si="15"/>
        <v/>
      </c>
      <c r="C220" s="11"/>
      <c r="D220" s="9"/>
      <c r="E220" s="9"/>
      <c r="F220" s="10"/>
      <c r="G220" s="11"/>
      <c r="H220" s="36" t="str">
        <f t="shared" ca="1" si="16"/>
        <v>N/A</v>
      </c>
      <c r="I220" s="10"/>
      <c r="J220" s="9"/>
      <c r="K220" s="36" t="str">
        <f t="shared" ca="1" si="17"/>
        <v>N/A</v>
      </c>
      <c r="L220" s="10"/>
      <c r="M220" s="11"/>
      <c r="N220" s="9"/>
      <c r="O220" s="9" t="str">
        <f t="shared" ca="1" si="18"/>
        <v>N/A</v>
      </c>
      <c r="P220" s="10"/>
      <c r="Q220" s="11"/>
      <c r="R220" s="11"/>
      <c r="S220" s="11"/>
      <c r="T220" s="9"/>
      <c r="U220" s="9" t="str">
        <f t="shared" ca="1" si="19"/>
        <v>N/A</v>
      </c>
      <c r="V220" s="10"/>
      <c r="W220" s="11"/>
      <c r="X220" s="9"/>
      <c r="Y220" s="9"/>
      <c r="Z220" s="9"/>
      <c r="AA220" s="10"/>
      <c r="AB220" s="10"/>
      <c r="AC220" s="11"/>
    </row>
    <row r="221" spans="2:29" ht="15" customHeight="1">
      <c r="B221" s="9" t="str">
        <f t="shared" si="15"/>
        <v/>
      </c>
      <c r="C221" s="11"/>
      <c r="D221" s="9"/>
      <c r="E221" s="9"/>
      <c r="F221" s="10"/>
      <c r="G221" s="11"/>
      <c r="H221" s="36" t="str">
        <f t="shared" ca="1" si="16"/>
        <v>N/A</v>
      </c>
      <c r="I221" s="10"/>
      <c r="J221" s="9"/>
      <c r="K221" s="36" t="str">
        <f t="shared" ca="1" si="17"/>
        <v>N/A</v>
      </c>
      <c r="L221" s="10"/>
      <c r="M221" s="11"/>
      <c r="N221" s="9"/>
      <c r="O221" s="9" t="str">
        <f t="shared" ca="1" si="18"/>
        <v>N/A</v>
      </c>
      <c r="P221" s="10"/>
      <c r="Q221" s="11"/>
      <c r="R221" s="11"/>
      <c r="S221" s="11"/>
      <c r="T221" s="9"/>
      <c r="U221" s="9" t="str">
        <f t="shared" ca="1" si="19"/>
        <v>N/A</v>
      </c>
      <c r="V221" s="10"/>
      <c r="W221" s="11"/>
      <c r="X221" s="9"/>
      <c r="Y221" s="9"/>
      <c r="Z221" s="9"/>
      <c r="AA221" s="10"/>
      <c r="AB221" s="10"/>
      <c r="AC221" s="11"/>
    </row>
    <row r="222" spans="2:29" ht="15" customHeight="1">
      <c r="B222" s="9" t="str">
        <f t="shared" si="15"/>
        <v/>
      </c>
      <c r="C222" s="11"/>
      <c r="D222" s="9"/>
      <c r="E222" s="9"/>
      <c r="F222" s="10"/>
      <c r="G222" s="11"/>
      <c r="H222" s="36" t="str">
        <f t="shared" ca="1" si="16"/>
        <v>N/A</v>
      </c>
      <c r="I222" s="10"/>
      <c r="J222" s="9"/>
      <c r="K222" s="36" t="str">
        <f t="shared" ca="1" si="17"/>
        <v>N/A</v>
      </c>
      <c r="L222" s="10"/>
      <c r="M222" s="11"/>
      <c r="N222" s="9"/>
      <c r="O222" s="9" t="str">
        <f t="shared" ca="1" si="18"/>
        <v>N/A</v>
      </c>
      <c r="P222" s="10"/>
      <c r="Q222" s="11"/>
      <c r="R222" s="11"/>
      <c r="S222" s="11"/>
      <c r="T222" s="9"/>
      <c r="U222" s="9" t="str">
        <f t="shared" ca="1" si="19"/>
        <v>N/A</v>
      </c>
      <c r="V222" s="10"/>
      <c r="W222" s="11"/>
      <c r="X222" s="9"/>
      <c r="Y222" s="9"/>
      <c r="Z222" s="9"/>
      <c r="AA222" s="10"/>
      <c r="AB222" s="10"/>
      <c r="AC222" s="11"/>
    </row>
    <row r="223" spans="2:29" ht="15" customHeight="1">
      <c r="B223" s="9" t="str">
        <f t="shared" si="15"/>
        <v/>
      </c>
      <c r="C223" s="11"/>
      <c r="D223" s="9"/>
      <c r="E223" s="9"/>
      <c r="F223" s="10"/>
      <c r="G223" s="11"/>
      <c r="H223" s="36" t="str">
        <f t="shared" ca="1" si="16"/>
        <v>N/A</v>
      </c>
      <c r="I223" s="10"/>
      <c r="J223" s="9"/>
      <c r="K223" s="36" t="str">
        <f t="shared" ca="1" si="17"/>
        <v>N/A</v>
      </c>
      <c r="L223" s="10"/>
      <c r="M223" s="11"/>
      <c r="N223" s="9"/>
      <c r="O223" s="9" t="str">
        <f t="shared" ca="1" si="18"/>
        <v>N/A</v>
      </c>
      <c r="P223" s="10"/>
      <c r="Q223" s="11"/>
      <c r="R223" s="11"/>
      <c r="S223" s="11"/>
      <c r="T223" s="9"/>
      <c r="U223" s="9" t="str">
        <f t="shared" ca="1" si="19"/>
        <v>N/A</v>
      </c>
      <c r="V223" s="10"/>
      <c r="W223" s="11"/>
      <c r="X223" s="9"/>
      <c r="Y223" s="9"/>
      <c r="Z223" s="9"/>
      <c r="AA223" s="10"/>
      <c r="AB223" s="10"/>
      <c r="AC223" s="11"/>
    </row>
    <row r="224" spans="2:29" ht="15" customHeight="1">
      <c r="B224" s="9" t="str">
        <f t="shared" si="15"/>
        <v/>
      </c>
      <c r="C224" s="11"/>
      <c r="D224" s="9"/>
      <c r="E224" s="9"/>
      <c r="F224" s="10"/>
      <c r="G224" s="11"/>
      <c r="H224" s="36" t="str">
        <f t="shared" ca="1" si="16"/>
        <v>N/A</v>
      </c>
      <c r="I224" s="10"/>
      <c r="J224" s="9"/>
      <c r="K224" s="36" t="str">
        <f t="shared" ca="1" si="17"/>
        <v>N/A</v>
      </c>
      <c r="L224" s="10"/>
      <c r="M224" s="11"/>
      <c r="N224" s="9"/>
      <c r="O224" s="9" t="str">
        <f t="shared" ca="1" si="18"/>
        <v>N/A</v>
      </c>
      <c r="P224" s="10"/>
      <c r="Q224" s="11"/>
      <c r="R224" s="11"/>
      <c r="S224" s="11"/>
      <c r="T224" s="9"/>
      <c r="U224" s="9" t="str">
        <f t="shared" ca="1" si="19"/>
        <v>N/A</v>
      </c>
      <c r="V224" s="10"/>
      <c r="W224" s="11"/>
      <c r="X224" s="9"/>
      <c r="Y224" s="9"/>
      <c r="Z224" s="9"/>
      <c r="AA224" s="10"/>
      <c r="AB224" s="10"/>
      <c r="AC224" s="11"/>
    </row>
    <row r="225" spans="2:29" ht="15" customHeight="1">
      <c r="B225" s="9" t="str">
        <f t="shared" si="15"/>
        <v/>
      </c>
      <c r="C225" s="11"/>
      <c r="D225" s="9"/>
      <c r="E225" s="9"/>
      <c r="F225" s="10"/>
      <c r="G225" s="11"/>
      <c r="H225" s="36" t="str">
        <f t="shared" ca="1" si="16"/>
        <v>N/A</v>
      </c>
      <c r="I225" s="10"/>
      <c r="J225" s="9"/>
      <c r="K225" s="36" t="str">
        <f t="shared" ca="1" si="17"/>
        <v>N/A</v>
      </c>
      <c r="L225" s="10"/>
      <c r="M225" s="11"/>
      <c r="N225" s="9"/>
      <c r="O225" s="9" t="str">
        <f t="shared" ca="1" si="18"/>
        <v>N/A</v>
      </c>
      <c r="P225" s="10"/>
      <c r="Q225" s="11"/>
      <c r="R225" s="11"/>
      <c r="S225" s="11"/>
      <c r="T225" s="9"/>
      <c r="U225" s="9" t="str">
        <f t="shared" ca="1" si="19"/>
        <v>N/A</v>
      </c>
      <c r="V225" s="10"/>
      <c r="W225" s="11"/>
      <c r="X225" s="9"/>
      <c r="Y225" s="9"/>
      <c r="Z225" s="9"/>
      <c r="AA225" s="10"/>
      <c r="AB225" s="10"/>
      <c r="AC225" s="11"/>
    </row>
    <row r="226" spans="2:29" ht="15" customHeight="1">
      <c r="B226" s="9" t="str">
        <f t="shared" si="15"/>
        <v/>
      </c>
      <c r="C226" s="11"/>
      <c r="D226" s="9"/>
      <c r="E226" s="9"/>
      <c r="F226" s="10"/>
      <c r="G226" s="11"/>
      <c r="H226" s="36" t="str">
        <f t="shared" ca="1" si="16"/>
        <v>N/A</v>
      </c>
      <c r="I226" s="10"/>
      <c r="J226" s="9"/>
      <c r="K226" s="36" t="str">
        <f t="shared" ca="1" si="17"/>
        <v>N/A</v>
      </c>
      <c r="L226" s="10"/>
      <c r="M226" s="11"/>
      <c r="N226" s="9"/>
      <c r="O226" s="9" t="str">
        <f t="shared" ca="1" si="18"/>
        <v>N/A</v>
      </c>
      <c r="P226" s="10"/>
      <c r="Q226" s="11"/>
      <c r="R226" s="11"/>
      <c r="S226" s="11"/>
      <c r="T226" s="9"/>
      <c r="U226" s="9" t="str">
        <f t="shared" ca="1" si="19"/>
        <v>N/A</v>
      </c>
      <c r="V226" s="10"/>
      <c r="W226" s="11"/>
      <c r="X226" s="9"/>
      <c r="Y226" s="9"/>
      <c r="Z226" s="9"/>
      <c r="AA226" s="10"/>
      <c r="AB226" s="10"/>
      <c r="AC226" s="11"/>
    </row>
    <row r="227" spans="2:29" ht="15" customHeight="1">
      <c r="B227" s="9" t="str">
        <f t="shared" si="15"/>
        <v/>
      </c>
      <c r="C227" s="11"/>
      <c r="D227" s="9"/>
      <c r="E227" s="9"/>
      <c r="F227" s="10"/>
      <c r="G227" s="11"/>
      <c r="H227" s="36" t="str">
        <f t="shared" ca="1" si="16"/>
        <v>N/A</v>
      </c>
      <c r="I227" s="10"/>
      <c r="J227" s="9"/>
      <c r="K227" s="36" t="str">
        <f t="shared" ca="1" si="17"/>
        <v>N/A</v>
      </c>
      <c r="L227" s="10"/>
      <c r="M227" s="11"/>
      <c r="N227" s="9"/>
      <c r="O227" s="9" t="str">
        <f t="shared" ca="1" si="18"/>
        <v>N/A</v>
      </c>
      <c r="P227" s="10"/>
      <c r="Q227" s="11"/>
      <c r="R227" s="11"/>
      <c r="S227" s="11"/>
      <c r="T227" s="9"/>
      <c r="U227" s="9" t="str">
        <f t="shared" ca="1" si="19"/>
        <v>N/A</v>
      </c>
      <c r="V227" s="10"/>
      <c r="W227" s="11"/>
      <c r="X227" s="9"/>
      <c r="Y227" s="9"/>
      <c r="Z227" s="9"/>
      <c r="AA227" s="10"/>
      <c r="AB227" s="10"/>
      <c r="AC227" s="11"/>
    </row>
    <row r="228" spans="2:29" ht="15" customHeight="1">
      <c r="B228" s="9" t="str">
        <f t="shared" si="15"/>
        <v/>
      </c>
      <c r="C228" s="11"/>
      <c r="D228" s="9"/>
      <c r="E228" s="9"/>
      <c r="F228" s="10"/>
      <c r="G228" s="11"/>
      <c r="H228" s="36" t="str">
        <f t="shared" ca="1" si="16"/>
        <v>N/A</v>
      </c>
      <c r="I228" s="10"/>
      <c r="J228" s="9"/>
      <c r="K228" s="36" t="str">
        <f t="shared" ca="1" si="17"/>
        <v>N/A</v>
      </c>
      <c r="L228" s="10"/>
      <c r="M228" s="11"/>
      <c r="N228" s="9"/>
      <c r="O228" s="9" t="str">
        <f t="shared" ca="1" si="18"/>
        <v>N/A</v>
      </c>
      <c r="P228" s="10"/>
      <c r="Q228" s="11"/>
      <c r="R228" s="11"/>
      <c r="S228" s="11"/>
      <c r="T228" s="9"/>
      <c r="U228" s="9" t="str">
        <f t="shared" ca="1" si="19"/>
        <v>N/A</v>
      </c>
      <c r="V228" s="10"/>
      <c r="W228" s="11"/>
      <c r="X228" s="9"/>
      <c r="Y228" s="9"/>
      <c r="Z228" s="9"/>
      <c r="AA228" s="10"/>
      <c r="AB228" s="10"/>
      <c r="AC228" s="11"/>
    </row>
    <row r="229" spans="2:29" ht="15" customHeight="1">
      <c r="B229" s="9" t="str">
        <f t="shared" si="15"/>
        <v/>
      </c>
      <c r="C229" s="11"/>
      <c r="D229" s="9"/>
      <c r="E229" s="9"/>
      <c r="F229" s="10"/>
      <c r="G229" s="11"/>
      <c r="H229" s="36" t="str">
        <f t="shared" ca="1" si="16"/>
        <v>N/A</v>
      </c>
      <c r="I229" s="10"/>
      <c r="J229" s="9"/>
      <c r="K229" s="36" t="str">
        <f t="shared" ca="1" si="17"/>
        <v>N/A</v>
      </c>
      <c r="L229" s="10"/>
      <c r="M229" s="11"/>
      <c r="N229" s="9"/>
      <c r="O229" s="9" t="str">
        <f t="shared" ca="1" si="18"/>
        <v>N/A</v>
      </c>
      <c r="P229" s="10"/>
      <c r="Q229" s="11"/>
      <c r="R229" s="11"/>
      <c r="S229" s="11"/>
      <c r="T229" s="9"/>
      <c r="U229" s="9" t="str">
        <f t="shared" ca="1" si="19"/>
        <v>N/A</v>
      </c>
      <c r="V229" s="10"/>
      <c r="W229" s="11"/>
      <c r="X229" s="9"/>
      <c r="Y229" s="9"/>
      <c r="Z229" s="9"/>
      <c r="AA229" s="10"/>
      <c r="AB229" s="10"/>
      <c r="AC229" s="11"/>
    </row>
    <row r="230" spans="2:29" ht="15" customHeight="1">
      <c r="B230" s="9" t="str">
        <f t="shared" si="15"/>
        <v/>
      </c>
      <c r="C230" s="11"/>
      <c r="D230" s="9"/>
      <c r="E230" s="9"/>
      <c r="F230" s="10"/>
      <c r="G230" s="11"/>
      <c r="H230" s="36" t="str">
        <f t="shared" ca="1" si="16"/>
        <v>N/A</v>
      </c>
      <c r="I230" s="10"/>
      <c r="J230" s="9"/>
      <c r="K230" s="36" t="str">
        <f t="shared" ca="1" si="17"/>
        <v>N/A</v>
      </c>
      <c r="L230" s="10"/>
      <c r="M230" s="11"/>
      <c r="N230" s="9"/>
      <c r="O230" s="9" t="str">
        <f t="shared" ca="1" si="18"/>
        <v>N/A</v>
      </c>
      <c r="P230" s="10"/>
      <c r="Q230" s="11"/>
      <c r="R230" s="11"/>
      <c r="S230" s="11"/>
      <c r="T230" s="9"/>
      <c r="U230" s="9" t="str">
        <f t="shared" ca="1" si="19"/>
        <v>N/A</v>
      </c>
      <c r="V230" s="10"/>
      <c r="W230" s="11"/>
      <c r="X230" s="9"/>
      <c r="Y230" s="9"/>
      <c r="Z230" s="9"/>
      <c r="AA230" s="10"/>
      <c r="AB230" s="10"/>
      <c r="AC230" s="11"/>
    </row>
    <row r="231" spans="2:29" ht="15" customHeight="1">
      <c r="B231" s="9" t="str">
        <f t="shared" si="15"/>
        <v/>
      </c>
      <c r="C231" s="11"/>
      <c r="D231" s="9"/>
      <c r="E231" s="9"/>
      <c r="F231" s="10"/>
      <c r="G231" s="11"/>
      <c r="H231" s="36" t="str">
        <f t="shared" ca="1" si="16"/>
        <v>N/A</v>
      </c>
      <c r="I231" s="10"/>
      <c r="J231" s="9"/>
      <c r="K231" s="36" t="str">
        <f t="shared" ca="1" si="17"/>
        <v>N/A</v>
      </c>
      <c r="L231" s="10"/>
      <c r="M231" s="11"/>
      <c r="N231" s="9"/>
      <c r="O231" s="9" t="str">
        <f t="shared" ca="1" si="18"/>
        <v>N/A</v>
      </c>
      <c r="P231" s="10"/>
      <c r="Q231" s="11"/>
      <c r="R231" s="11"/>
      <c r="S231" s="11"/>
      <c r="T231" s="9"/>
      <c r="U231" s="9" t="str">
        <f t="shared" ca="1" si="19"/>
        <v>N/A</v>
      </c>
      <c r="V231" s="10"/>
      <c r="W231" s="11"/>
      <c r="X231" s="9"/>
      <c r="Y231" s="9"/>
      <c r="Z231" s="9"/>
      <c r="AA231" s="10"/>
      <c r="AB231" s="10"/>
      <c r="AC231" s="11"/>
    </row>
    <row r="232" spans="2:29" ht="15" customHeight="1">
      <c r="B232" s="9" t="str">
        <f t="shared" si="15"/>
        <v/>
      </c>
      <c r="C232" s="11"/>
      <c r="D232" s="9"/>
      <c r="E232" s="9"/>
      <c r="F232" s="10"/>
      <c r="G232" s="11"/>
      <c r="H232" s="36" t="str">
        <f t="shared" ca="1" si="16"/>
        <v>N/A</v>
      </c>
      <c r="I232" s="10"/>
      <c r="J232" s="9"/>
      <c r="K232" s="36" t="str">
        <f t="shared" ca="1" si="17"/>
        <v>N/A</v>
      </c>
      <c r="L232" s="10"/>
      <c r="M232" s="11"/>
      <c r="N232" s="9"/>
      <c r="O232" s="9" t="str">
        <f t="shared" ca="1" si="18"/>
        <v>N/A</v>
      </c>
      <c r="P232" s="10"/>
      <c r="Q232" s="11"/>
      <c r="R232" s="11"/>
      <c r="S232" s="11"/>
      <c r="T232" s="9"/>
      <c r="U232" s="9" t="str">
        <f t="shared" ca="1" si="19"/>
        <v>N/A</v>
      </c>
      <c r="V232" s="10"/>
      <c r="W232" s="11"/>
      <c r="X232" s="9"/>
      <c r="Y232" s="9"/>
      <c r="Z232" s="9"/>
      <c r="AA232" s="10"/>
      <c r="AB232" s="10"/>
      <c r="AC232" s="11"/>
    </row>
    <row r="233" spans="2:29" ht="15" customHeight="1">
      <c r="B233" s="9" t="str">
        <f t="shared" si="15"/>
        <v/>
      </c>
      <c r="C233" s="11"/>
      <c r="D233" s="9"/>
      <c r="E233" s="9"/>
      <c r="F233" s="10"/>
      <c r="G233" s="11"/>
      <c r="H233" s="36" t="str">
        <f t="shared" ca="1" si="16"/>
        <v>N/A</v>
      </c>
      <c r="I233" s="10"/>
      <c r="J233" s="9"/>
      <c r="K233" s="36" t="str">
        <f t="shared" ca="1" si="17"/>
        <v>N/A</v>
      </c>
      <c r="L233" s="10"/>
      <c r="M233" s="11"/>
      <c r="N233" s="9"/>
      <c r="O233" s="9" t="str">
        <f t="shared" ca="1" si="18"/>
        <v>N/A</v>
      </c>
      <c r="P233" s="10"/>
      <c r="Q233" s="11"/>
      <c r="R233" s="11"/>
      <c r="S233" s="11"/>
      <c r="T233" s="9"/>
      <c r="U233" s="9" t="str">
        <f t="shared" ca="1" si="19"/>
        <v>N/A</v>
      </c>
      <c r="V233" s="10"/>
      <c r="W233" s="11"/>
      <c r="X233" s="9"/>
      <c r="Y233" s="9"/>
      <c r="Z233" s="9"/>
      <c r="AA233" s="10"/>
      <c r="AB233" s="10"/>
      <c r="AC233" s="11"/>
    </row>
    <row r="234" spans="2:29" ht="15" customHeight="1">
      <c r="B234" s="9" t="str">
        <f t="shared" si="15"/>
        <v/>
      </c>
      <c r="C234" s="11"/>
      <c r="D234" s="9"/>
      <c r="E234" s="9"/>
      <c r="F234" s="10"/>
      <c r="G234" s="11"/>
      <c r="H234" s="36" t="str">
        <f t="shared" ca="1" si="16"/>
        <v>N/A</v>
      </c>
      <c r="I234" s="10"/>
      <c r="J234" s="9"/>
      <c r="K234" s="36" t="str">
        <f t="shared" ca="1" si="17"/>
        <v>N/A</v>
      </c>
      <c r="L234" s="10"/>
      <c r="M234" s="11"/>
      <c r="N234" s="9"/>
      <c r="O234" s="9" t="str">
        <f t="shared" ca="1" si="18"/>
        <v>N/A</v>
      </c>
      <c r="P234" s="10"/>
      <c r="Q234" s="11"/>
      <c r="R234" s="11"/>
      <c r="S234" s="11"/>
      <c r="T234" s="9"/>
      <c r="U234" s="9" t="str">
        <f t="shared" ca="1" si="19"/>
        <v>N/A</v>
      </c>
      <c r="V234" s="10"/>
      <c r="W234" s="11"/>
      <c r="X234" s="9"/>
      <c r="Y234" s="9"/>
      <c r="Z234" s="9"/>
      <c r="AA234" s="10"/>
      <c r="AB234" s="10"/>
      <c r="AC234" s="11"/>
    </row>
    <row r="235" spans="2:29" ht="15" customHeight="1">
      <c r="B235" s="9" t="str">
        <f t="shared" si="15"/>
        <v/>
      </c>
      <c r="C235" s="11"/>
      <c r="D235" s="9"/>
      <c r="E235" s="9"/>
      <c r="F235" s="10"/>
      <c r="G235" s="11"/>
      <c r="H235" s="36" t="str">
        <f t="shared" ca="1" si="16"/>
        <v>N/A</v>
      </c>
      <c r="I235" s="10"/>
      <c r="J235" s="9"/>
      <c r="K235" s="36" t="str">
        <f t="shared" ca="1" si="17"/>
        <v>N/A</v>
      </c>
      <c r="L235" s="10"/>
      <c r="M235" s="11"/>
      <c r="N235" s="9"/>
      <c r="O235" s="9" t="str">
        <f t="shared" ca="1" si="18"/>
        <v>N/A</v>
      </c>
      <c r="P235" s="10"/>
      <c r="Q235" s="11"/>
      <c r="R235" s="11"/>
      <c r="S235" s="11"/>
      <c r="T235" s="9"/>
      <c r="U235" s="9" t="str">
        <f t="shared" ca="1" si="19"/>
        <v>N/A</v>
      </c>
      <c r="V235" s="10"/>
      <c r="W235" s="11"/>
      <c r="X235" s="9"/>
      <c r="Y235" s="9"/>
      <c r="Z235" s="9"/>
      <c r="AA235" s="10"/>
      <c r="AB235" s="10"/>
      <c r="AC235" s="11"/>
    </row>
    <row r="236" spans="2:29" ht="15" customHeight="1">
      <c r="B236" s="9" t="str">
        <f t="shared" si="15"/>
        <v/>
      </c>
      <c r="C236" s="11"/>
      <c r="D236" s="9"/>
      <c r="E236" s="9"/>
      <c r="F236" s="10"/>
      <c r="G236" s="11"/>
      <c r="H236" s="36" t="str">
        <f t="shared" ca="1" si="16"/>
        <v>N/A</v>
      </c>
      <c r="I236" s="10"/>
      <c r="J236" s="9"/>
      <c r="K236" s="36" t="str">
        <f t="shared" ca="1" si="17"/>
        <v>N/A</v>
      </c>
      <c r="L236" s="10"/>
      <c r="M236" s="11"/>
      <c r="N236" s="9"/>
      <c r="O236" s="9" t="str">
        <f t="shared" ca="1" si="18"/>
        <v>N/A</v>
      </c>
      <c r="P236" s="10"/>
      <c r="Q236" s="11"/>
      <c r="R236" s="11"/>
      <c r="S236" s="11"/>
      <c r="T236" s="9"/>
      <c r="U236" s="9" t="str">
        <f t="shared" ca="1" si="19"/>
        <v>N/A</v>
      </c>
      <c r="V236" s="10"/>
      <c r="W236" s="11"/>
      <c r="X236" s="9"/>
      <c r="Y236" s="9"/>
      <c r="Z236" s="9"/>
      <c r="AA236" s="10"/>
      <c r="AB236" s="10"/>
      <c r="AC236" s="11"/>
    </row>
    <row r="237" spans="2:29" ht="15" customHeight="1">
      <c r="B237" s="9" t="str">
        <f t="shared" si="15"/>
        <v/>
      </c>
      <c r="C237" s="11"/>
      <c r="D237" s="9"/>
      <c r="E237" s="9"/>
      <c r="F237" s="10"/>
      <c r="G237" s="11"/>
      <c r="H237" s="36" t="str">
        <f t="shared" ca="1" si="16"/>
        <v>N/A</v>
      </c>
      <c r="I237" s="10"/>
      <c r="J237" s="9"/>
      <c r="K237" s="36" t="str">
        <f t="shared" ca="1" si="17"/>
        <v>N/A</v>
      </c>
      <c r="L237" s="10"/>
      <c r="M237" s="11"/>
      <c r="N237" s="9"/>
      <c r="O237" s="9" t="str">
        <f t="shared" ca="1" si="18"/>
        <v>N/A</v>
      </c>
      <c r="P237" s="10"/>
      <c r="Q237" s="11"/>
      <c r="R237" s="11"/>
      <c r="S237" s="11"/>
      <c r="T237" s="9"/>
      <c r="U237" s="9" t="str">
        <f t="shared" ca="1" si="19"/>
        <v>N/A</v>
      </c>
      <c r="V237" s="10"/>
      <c r="W237" s="11"/>
      <c r="X237" s="9"/>
      <c r="Y237" s="9"/>
      <c r="Z237" s="9"/>
      <c r="AA237" s="10"/>
      <c r="AB237" s="10"/>
      <c r="AC237" s="11"/>
    </row>
    <row r="238" spans="2:29" ht="15" customHeight="1">
      <c r="B238" s="9" t="str">
        <f t="shared" si="15"/>
        <v/>
      </c>
      <c r="C238" s="11"/>
      <c r="D238" s="9"/>
      <c r="E238" s="9"/>
      <c r="F238" s="10"/>
      <c r="G238" s="11"/>
      <c r="H238" s="36" t="str">
        <f t="shared" ca="1" si="16"/>
        <v>N/A</v>
      </c>
      <c r="I238" s="10"/>
      <c r="J238" s="9"/>
      <c r="K238" s="36" t="str">
        <f t="shared" ca="1" si="17"/>
        <v>N/A</v>
      </c>
      <c r="L238" s="10"/>
      <c r="M238" s="11"/>
      <c r="N238" s="9"/>
      <c r="O238" s="9" t="str">
        <f t="shared" ca="1" si="18"/>
        <v>N/A</v>
      </c>
      <c r="P238" s="10"/>
      <c r="Q238" s="11"/>
      <c r="R238" s="11"/>
      <c r="S238" s="11"/>
      <c r="T238" s="9"/>
      <c r="U238" s="9" t="str">
        <f t="shared" ca="1" si="19"/>
        <v>N/A</v>
      </c>
      <c r="V238" s="10"/>
      <c r="W238" s="11"/>
      <c r="X238" s="9"/>
      <c r="Y238" s="9"/>
      <c r="Z238" s="9"/>
      <c r="AA238" s="10"/>
      <c r="AB238" s="10"/>
      <c r="AC238" s="11"/>
    </row>
    <row r="239" spans="2:29" ht="15" customHeight="1">
      <c r="B239" s="9" t="str">
        <f t="shared" si="15"/>
        <v/>
      </c>
      <c r="C239" s="11"/>
      <c r="D239" s="9"/>
      <c r="E239" s="9"/>
      <c r="F239" s="10"/>
      <c r="G239" s="11"/>
      <c r="H239" s="36" t="str">
        <f t="shared" ca="1" si="16"/>
        <v>N/A</v>
      </c>
      <c r="I239" s="10"/>
      <c r="J239" s="9"/>
      <c r="K239" s="36" t="str">
        <f t="shared" ca="1" si="17"/>
        <v>N/A</v>
      </c>
      <c r="L239" s="10"/>
      <c r="M239" s="11"/>
      <c r="N239" s="9"/>
      <c r="O239" s="9" t="str">
        <f t="shared" ca="1" si="18"/>
        <v>N/A</v>
      </c>
      <c r="P239" s="10"/>
      <c r="Q239" s="11"/>
      <c r="R239" s="11"/>
      <c r="S239" s="11"/>
      <c r="T239" s="9"/>
      <c r="U239" s="9" t="str">
        <f t="shared" ca="1" si="19"/>
        <v>N/A</v>
      </c>
      <c r="V239" s="10"/>
      <c r="W239" s="11"/>
      <c r="X239" s="9"/>
      <c r="Y239" s="9"/>
      <c r="Z239" s="9"/>
      <c r="AA239" s="10"/>
      <c r="AB239" s="10"/>
      <c r="AC239" s="11"/>
    </row>
    <row r="240" spans="2:29" ht="15" customHeight="1">
      <c r="B240" s="9" t="str">
        <f t="shared" si="15"/>
        <v/>
      </c>
      <c r="C240" s="11"/>
      <c r="D240" s="9"/>
      <c r="E240" s="9"/>
      <c r="F240" s="10"/>
      <c r="G240" s="11"/>
      <c r="H240" s="36" t="str">
        <f t="shared" ca="1" si="16"/>
        <v>N/A</v>
      </c>
      <c r="I240" s="10"/>
      <c r="J240" s="9"/>
      <c r="K240" s="36" t="str">
        <f t="shared" ca="1" si="17"/>
        <v>N/A</v>
      </c>
      <c r="L240" s="10"/>
      <c r="M240" s="11"/>
      <c r="N240" s="9"/>
      <c r="O240" s="9" t="str">
        <f t="shared" ca="1" si="18"/>
        <v>N/A</v>
      </c>
      <c r="P240" s="10"/>
      <c r="Q240" s="11"/>
      <c r="R240" s="11"/>
      <c r="S240" s="11"/>
      <c r="T240" s="9"/>
      <c r="U240" s="9" t="str">
        <f t="shared" ca="1" si="19"/>
        <v>N/A</v>
      </c>
      <c r="V240" s="10"/>
      <c r="W240" s="11"/>
      <c r="X240" s="9"/>
      <c r="Y240" s="9"/>
      <c r="Z240" s="9"/>
      <c r="AA240" s="10"/>
      <c r="AB240" s="10"/>
      <c r="AC240" s="11"/>
    </row>
    <row r="241" spans="2:29" ht="15" customHeight="1">
      <c r="B241" s="9" t="str">
        <f t="shared" si="15"/>
        <v/>
      </c>
      <c r="C241" s="11"/>
      <c r="D241" s="9"/>
      <c r="E241" s="9"/>
      <c r="F241" s="10"/>
      <c r="G241" s="11"/>
      <c r="H241" s="36" t="str">
        <f t="shared" ca="1" si="16"/>
        <v>N/A</v>
      </c>
      <c r="I241" s="10"/>
      <c r="J241" s="9"/>
      <c r="K241" s="36" t="str">
        <f t="shared" ca="1" si="17"/>
        <v>N/A</v>
      </c>
      <c r="L241" s="10"/>
      <c r="M241" s="11"/>
      <c r="N241" s="9"/>
      <c r="O241" s="9" t="str">
        <f t="shared" ca="1" si="18"/>
        <v>N/A</v>
      </c>
      <c r="P241" s="10"/>
      <c r="Q241" s="11"/>
      <c r="R241" s="11"/>
      <c r="S241" s="11"/>
      <c r="T241" s="9"/>
      <c r="U241" s="9" t="str">
        <f t="shared" ca="1" si="19"/>
        <v>N/A</v>
      </c>
      <c r="V241" s="10"/>
      <c r="W241" s="11"/>
      <c r="X241" s="9"/>
      <c r="Y241" s="9"/>
      <c r="Z241" s="9"/>
      <c r="AA241" s="10"/>
      <c r="AB241" s="10"/>
      <c r="AC241" s="11"/>
    </row>
    <row r="242" spans="2:29" ht="15" customHeight="1">
      <c r="B242" s="9" t="str">
        <f t="shared" si="15"/>
        <v/>
      </c>
      <c r="C242" s="11"/>
      <c r="D242" s="9"/>
      <c r="E242" s="9"/>
      <c r="F242" s="10"/>
      <c r="G242" s="11"/>
      <c r="H242" s="36" t="str">
        <f t="shared" ca="1" si="16"/>
        <v>N/A</v>
      </c>
      <c r="I242" s="10"/>
      <c r="J242" s="9"/>
      <c r="K242" s="36" t="str">
        <f t="shared" ca="1" si="17"/>
        <v>N/A</v>
      </c>
      <c r="L242" s="10"/>
      <c r="M242" s="11"/>
      <c r="N242" s="9"/>
      <c r="O242" s="9" t="str">
        <f t="shared" ca="1" si="18"/>
        <v>N/A</v>
      </c>
      <c r="P242" s="10"/>
      <c r="Q242" s="11"/>
      <c r="R242" s="11"/>
      <c r="S242" s="11"/>
      <c r="T242" s="9"/>
      <c r="U242" s="9" t="str">
        <f t="shared" ca="1" si="19"/>
        <v>N/A</v>
      </c>
      <c r="V242" s="10"/>
      <c r="W242" s="11"/>
      <c r="X242" s="9"/>
      <c r="Y242" s="9"/>
      <c r="Z242" s="9"/>
      <c r="AA242" s="10"/>
      <c r="AB242" s="10"/>
      <c r="AC242" s="11"/>
    </row>
    <row r="243" spans="2:29" ht="15" customHeight="1">
      <c r="B243" s="9" t="str">
        <f t="shared" si="15"/>
        <v/>
      </c>
      <c r="C243" s="11"/>
      <c r="D243" s="9"/>
      <c r="E243" s="9"/>
      <c r="F243" s="10"/>
      <c r="G243" s="11"/>
      <c r="H243" s="36" t="str">
        <f t="shared" ca="1" si="16"/>
        <v>N/A</v>
      </c>
      <c r="I243" s="10"/>
      <c r="J243" s="9"/>
      <c r="K243" s="36" t="str">
        <f t="shared" ca="1" si="17"/>
        <v>N/A</v>
      </c>
      <c r="L243" s="10"/>
      <c r="M243" s="11"/>
      <c r="N243" s="9"/>
      <c r="O243" s="9" t="str">
        <f t="shared" ca="1" si="18"/>
        <v>N/A</v>
      </c>
      <c r="P243" s="10"/>
      <c r="Q243" s="11"/>
      <c r="R243" s="11"/>
      <c r="S243" s="11"/>
      <c r="T243" s="9"/>
      <c r="U243" s="9" t="str">
        <f t="shared" ca="1" si="19"/>
        <v>N/A</v>
      </c>
      <c r="V243" s="10"/>
      <c r="W243" s="11"/>
      <c r="X243" s="9"/>
      <c r="Y243" s="9"/>
      <c r="Z243" s="9"/>
      <c r="AA243" s="10"/>
      <c r="AB243" s="10"/>
      <c r="AC243" s="11"/>
    </row>
    <row r="244" spans="2:29" ht="15" customHeight="1">
      <c r="B244" s="9" t="str">
        <f t="shared" si="15"/>
        <v/>
      </c>
      <c r="C244" s="11"/>
      <c r="D244" s="9"/>
      <c r="E244" s="9"/>
      <c r="F244" s="10"/>
      <c r="G244" s="11"/>
      <c r="H244" s="36" t="str">
        <f t="shared" ca="1" si="16"/>
        <v>N/A</v>
      </c>
      <c r="I244" s="10"/>
      <c r="J244" s="9"/>
      <c r="K244" s="36" t="str">
        <f t="shared" ca="1" si="17"/>
        <v>N/A</v>
      </c>
      <c r="L244" s="10"/>
      <c r="M244" s="11"/>
      <c r="N244" s="9"/>
      <c r="O244" s="9" t="str">
        <f t="shared" ca="1" si="18"/>
        <v>N/A</v>
      </c>
      <c r="P244" s="10"/>
      <c r="Q244" s="11"/>
      <c r="R244" s="11"/>
      <c r="S244" s="11"/>
      <c r="T244" s="9"/>
      <c r="U244" s="9" t="str">
        <f t="shared" ca="1" si="19"/>
        <v>N/A</v>
      </c>
      <c r="V244" s="10"/>
      <c r="W244" s="11"/>
      <c r="X244" s="9"/>
      <c r="Y244" s="9"/>
      <c r="Z244" s="9"/>
      <c r="AA244" s="10"/>
      <c r="AB244" s="10"/>
      <c r="AC244" s="11"/>
    </row>
    <row r="245" spans="2:29" ht="15" customHeight="1">
      <c r="B245" s="9" t="str">
        <f t="shared" si="15"/>
        <v/>
      </c>
      <c r="C245" s="11"/>
      <c r="D245" s="9"/>
      <c r="E245" s="9"/>
      <c r="F245" s="10"/>
      <c r="G245" s="11"/>
      <c r="H245" s="36" t="str">
        <f t="shared" ca="1" si="16"/>
        <v>N/A</v>
      </c>
      <c r="I245" s="10"/>
      <c r="J245" s="9"/>
      <c r="K245" s="36" t="str">
        <f t="shared" ca="1" si="17"/>
        <v>N/A</v>
      </c>
      <c r="L245" s="10"/>
      <c r="M245" s="11"/>
      <c r="N245" s="9"/>
      <c r="O245" s="9" t="str">
        <f t="shared" ca="1" si="18"/>
        <v>N/A</v>
      </c>
      <c r="P245" s="10"/>
      <c r="Q245" s="11"/>
      <c r="R245" s="11"/>
      <c r="S245" s="11"/>
      <c r="T245" s="9"/>
      <c r="U245" s="9" t="str">
        <f t="shared" ca="1" si="19"/>
        <v>N/A</v>
      </c>
      <c r="V245" s="10"/>
      <c r="W245" s="11"/>
      <c r="X245" s="9"/>
      <c r="Y245" s="9"/>
      <c r="Z245" s="9"/>
      <c r="AA245" s="10"/>
      <c r="AB245" s="10"/>
      <c r="AC245" s="11"/>
    </row>
    <row r="246" spans="2:29" ht="15" customHeight="1">
      <c r="B246" s="9" t="str">
        <f t="shared" si="15"/>
        <v/>
      </c>
      <c r="C246" s="11"/>
      <c r="D246" s="9"/>
      <c r="E246" s="9"/>
      <c r="F246" s="10"/>
      <c r="G246" s="11"/>
      <c r="H246" s="36" t="str">
        <f t="shared" ca="1" si="16"/>
        <v>N/A</v>
      </c>
      <c r="I246" s="10"/>
      <c r="J246" s="9"/>
      <c r="K246" s="36" t="str">
        <f t="shared" ca="1" si="17"/>
        <v>N/A</v>
      </c>
      <c r="L246" s="10"/>
      <c r="M246" s="11"/>
      <c r="N246" s="9"/>
      <c r="O246" s="9" t="str">
        <f t="shared" ca="1" si="18"/>
        <v>N/A</v>
      </c>
      <c r="P246" s="10"/>
      <c r="Q246" s="11"/>
      <c r="R246" s="11"/>
      <c r="S246" s="11"/>
      <c r="T246" s="9"/>
      <c r="U246" s="9" t="str">
        <f t="shared" ca="1" si="19"/>
        <v>N/A</v>
      </c>
      <c r="V246" s="10"/>
      <c r="W246" s="11"/>
      <c r="X246" s="9"/>
      <c r="Y246" s="9"/>
      <c r="Z246" s="9"/>
      <c r="AA246" s="10"/>
      <c r="AB246" s="10"/>
      <c r="AC246" s="11"/>
    </row>
    <row r="247" spans="2:29" ht="15" customHeight="1">
      <c r="B247" s="9" t="str">
        <f t="shared" si="15"/>
        <v/>
      </c>
      <c r="C247" s="11"/>
      <c r="D247" s="9"/>
      <c r="E247" s="9"/>
      <c r="F247" s="10"/>
      <c r="G247" s="11"/>
      <c r="H247" s="36" t="str">
        <f t="shared" ca="1" si="16"/>
        <v>N/A</v>
      </c>
      <c r="I247" s="10"/>
      <c r="J247" s="9"/>
      <c r="K247" s="36" t="str">
        <f t="shared" ca="1" si="17"/>
        <v>N/A</v>
      </c>
      <c r="L247" s="10"/>
      <c r="M247" s="11"/>
      <c r="N247" s="9"/>
      <c r="O247" s="9" t="str">
        <f t="shared" ca="1" si="18"/>
        <v>N/A</v>
      </c>
      <c r="P247" s="10"/>
      <c r="Q247" s="11"/>
      <c r="R247" s="11"/>
      <c r="S247" s="11"/>
      <c r="T247" s="9"/>
      <c r="U247" s="9" t="str">
        <f t="shared" ca="1" si="19"/>
        <v>N/A</v>
      </c>
      <c r="V247" s="10"/>
      <c r="W247" s="11"/>
      <c r="X247" s="9"/>
      <c r="Y247" s="9"/>
      <c r="Z247" s="9"/>
      <c r="AA247" s="10"/>
      <c r="AB247" s="10"/>
      <c r="AC247" s="11"/>
    </row>
    <row r="248" spans="2:29" ht="15" customHeight="1">
      <c r="B248" s="9" t="str">
        <f t="shared" si="15"/>
        <v/>
      </c>
      <c r="C248" s="11"/>
      <c r="D248" s="9"/>
      <c r="E248" s="9"/>
      <c r="F248" s="10"/>
      <c r="G248" s="11"/>
      <c r="H248" s="36" t="str">
        <f t="shared" ca="1" si="16"/>
        <v>N/A</v>
      </c>
      <c r="I248" s="10"/>
      <c r="J248" s="9"/>
      <c r="K248" s="36" t="str">
        <f t="shared" ca="1" si="17"/>
        <v>N/A</v>
      </c>
      <c r="L248" s="10"/>
      <c r="M248" s="11"/>
      <c r="N248" s="9"/>
      <c r="O248" s="9" t="str">
        <f t="shared" ca="1" si="18"/>
        <v>N/A</v>
      </c>
      <c r="P248" s="10"/>
      <c r="Q248" s="11"/>
      <c r="R248" s="11"/>
      <c r="S248" s="11"/>
      <c r="T248" s="9"/>
      <c r="U248" s="9" t="str">
        <f t="shared" ca="1" si="19"/>
        <v>N/A</v>
      </c>
      <c r="V248" s="10"/>
      <c r="W248" s="11"/>
      <c r="X248" s="9"/>
      <c r="Y248" s="9"/>
      <c r="Z248" s="9"/>
      <c r="AA248" s="10"/>
      <c r="AB248" s="10"/>
      <c r="AC248" s="11"/>
    </row>
    <row r="249" spans="2:29" ht="15" customHeight="1">
      <c r="B249" s="9" t="str">
        <f t="shared" si="15"/>
        <v/>
      </c>
      <c r="C249" s="11"/>
      <c r="D249" s="9"/>
      <c r="E249" s="9"/>
      <c r="F249" s="10"/>
      <c r="G249" s="11"/>
      <c r="H249" s="36" t="str">
        <f t="shared" ca="1" si="16"/>
        <v>N/A</v>
      </c>
      <c r="I249" s="10"/>
      <c r="J249" s="9"/>
      <c r="K249" s="36" t="str">
        <f t="shared" ca="1" si="17"/>
        <v>N/A</v>
      </c>
      <c r="L249" s="10"/>
      <c r="M249" s="11"/>
      <c r="N249" s="9"/>
      <c r="O249" s="9" t="str">
        <f t="shared" ca="1" si="18"/>
        <v>N/A</v>
      </c>
      <c r="P249" s="10"/>
      <c r="Q249" s="11"/>
      <c r="R249" s="11"/>
      <c r="S249" s="11"/>
      <c r="T249" s="9"/>
      <c r="U249" s="9" t="str">
        <f t="shared" ca="1" si="19"/>
        <v>N/A</v>
      </c>
      <c r="V249" s="10"/>
      <c r="W249" s="11"/>
      <c r="X249" s="9"/>
      <c r="Y249" s="9"/>
      <c r="Z249" s="9"/>
      <c r="AA249" s="10"/>
      <c r="AB249" s="10"/>
      <c r="AC249" s="11"/>
    </row>
    <row r="250" spans="2:29" ht="15" customHeight="1">
      <c r="B250" s="9" t="str">
        <f t="shared" si="15"/>
        <v/>
      </c>
      <c r="C250" s="11"/>
      <c r="D250" s="9"/>
      <c r="E250" s="9"/>
      <c r="F250" s="10"/>
      <c r="G250" s="11"/>
      <c r="H250" s="36" t="str">
        <f t="shared" ca="1" si="16"/>
        <v>N/A</v>
      </c>
      <c r="I250" s="10"/>
      <c r="J250" s="9"/>
      <c r="K250" s="36" t="str">
        <f t="shared" ca="1" si="17"/>
        <v>N/A</v>
      </c>
      <c r="L250" s="10"/>
      <c r="M250" s="11"/>
      <c r="N250" s="9"/>
      <c r="O250" s="9" t="str">
        <f t="shared" ca="1" si="18"/>
        <v>N/A</v>
      </c>
      <c r="P250" s="10"/>
      <c r="Q250" s="11"/>
      <c r="R250" s="11"/>
      <c r="S250" s="11"/>
      <c r="T250" s="9"/>
      <c r="U250" s="9" t="str">
        <f t="shared" ca="1" si="19"/>
        <v>N/A</v>
      </c>
      <c r="V250" s="10"/>
      <c r="W250" s="11"/>
      <c r="X250" s="9"/>
      <c r="Y250" s="9"/>
      <c r="Z250" s="9"/>
      <c r="AA250" s="10"/>
      <c r="AB250" s="10"/>
      <c r="AC250" s="11"/>
    </row>
    <row r="251" spans="2:29" ht="15" customHeight="1">
      <c r="B251" s="9" t="str">
        <f t="shared" si="15"/>
        <v/>
      </c>
      <c r="C251" s="11"/>
      <c r="D251" s="9"/>
      <c r="E251" s="9"/>
      <c r="F251" s="10"/>
      <c r="G251" s="11"/>
      <c r="H251" s="36" t="str">
        <f t="shared" ca="1" si="16"/>
        <v>N/A</v>
      </c>
      <c r="I251" s="10"/>
      <c r="J251" s="9"/>
      <c r="K251" s="36" t="str">
        <f t="shared" ca="1" si="17"/>
        <v>N/A</v>
      </c>
      <c r="L251" s="10"/>
      <c r="M251" s="11"/>
      <c r="N251" s="9"/>
      <c r="O251" s="9" t="str">
        <f t="shared" ca="1" si="18"/>
        <v>N/A</v>
      </c>
      <c r="P251" s="10"/>
      <c r="Q251" s="11"/>
      <c r="R251" s="11"/>
      <c r="S251" s="11"/>
      <c r="T251" s="9"/>
      <c r="U251" s="9" t="str">
        <f t="shared" ca="1" si="19"/>
        <v>N/A</v>
      </c>
      <c r="V251" s="10"/>
      <c r="W251" s="11"/>
      <c r="X251" s="9"/>
      <c r="Y251" s="9"/>
      <c r="Z251" s="9"/>
      <c r="AA251" s="10"/>
      <c r="AB251" s="10"/>
      <c r="AC251" s="11"/>
    </row>
    <row r="252" spans="2:29" ht="15" customHeight="1">
      <c r="B252" s="9" t="str">
        <f t="shared" si="15"/>
        <v/>
      </c>
      <c r="C252" s="11"/>
      <c r="D252" s="9"/>
      <c r="E252" s="9"/>
      <c r="F252" s="10"/>
      <c r="G252" s="11"/>
      <c r="H252" s="36" t="str">
        <f t="shared" ca="1" si="16"/>
        <v>N/A</v>
      </c>
      <c r="I252" s="10"/>
      <c r="J252" s="9"/>
      <c r="K252" s="36" t="str">
        <f t="shared" ca="1" si="17"/>
        <v>N/A</v>
      </c>
      <c r="L252" s="10"/>
      <c r="M252" s="11"/>
      <c r="N252" s="9"/>
      <c r="O252" s="9" t="str">
        <f t="shared" ca="1" si="18"/>
        <v>N/A</v>
      </c>
      <c r="P252" s="10"/>
      <c r="Q252" s="11"/>
      <c r="R252" s="11"/>
      <c r="S252" s="11"/>
      <c r="T252" s="9"/>
      <c r="U252" s="9" t="str">
        <f t="shared" ca="1" si="19"/>
        <v>N/A</v>
      </c>
      <c r="V252" s="10"/>
      <c r="W252" s="11"/>
      <c r="X252" s="9"/>
      <c r="Y252" s="9"/>
      <c r="Z252" s="9"/>
      <c r="AA252" s="10"/>
      <c r="AB252" s="10"/>
      <c r="AC252" s="11"/>
    </row>
    <row r="253" spans="2:29" ht="15" customHeight="1">
      <c r="B253" s="9" t="str">
        <f t="shared" si="15"/>
        <v/>
      </c>
      <c r="C253" s="11"/>
      <c r="D253" s="9"/>
      <c r="E253" s="9"/>
      <c r="F253" s="10"/>
      <c r="G253" s="11"/>
      <c r="H253" s="36" t="str">
        <f t="shared" ca="1" si="16"/>
        <v>N/A</v>
      </c>
      <c r="I253" s="10"/>
      <c r="J253" s="9"/>
      <c r="K253" s="36" t="str">
        <f t="shared" ca="1" si="17"/>
        <v>N/A</v>
      </c>
      <c r="L253" s="10"/>
      <c r="M253" s="11"/>
      <c r="N253" s="9"/>
      <c r="O253" s="9" t="str">
        <f t="shared" ca="1" si="18"/>
        <v>N/A</v>
      </c>
      <c r="P253" s="10"/>
      <c r="Q253" s="11"/>
      <c r="R253" s="11"/>
      <c r="S253" s="11"/>
      <c r="T253" s="9"/>
      <c r="U253" s="9" t="str">
        <f t="shared" ca="1" si="19"/>
        <v>N/A</v>
      </c>
      <c r="V253" s="10"/>
      <c r="W253" s="11"/>
      <c r="X253" s="9"/>
      <c r="Y253" s="9"/>
      <c r="Z253" s="9"/>
      <c r="AA253" s="10"/>
      <c r="AB253" s="10"/>
      <c r="AC253" s="11"/>
    </row>
    <row r="254" spans="2:29" ht="15" customHeight="1">
      <c r="B254" s="9" t="str">
        <f t="shared" si="15"/>
        <v/>
      </c>
      <c r="C254" s="11"/>
      <c r="D254" s="9"/>
      <c r="E254" s="9"/>
      <c r="F254" s="10"/>
      <c r="G254" s="11"/>
      <c r="H254" s="36" t="str">
        <f t="shared" ca="1" si="16"/>
        <v>N/A</v>
      </c>
      <c r="I254" s="10"/>
      <c r="J254" s="9"/>
      <c r="K254" s="36" t="str">
        <f t="shared" ca="1" si="17"/>
        <v>N/A</v>
      </c>
      <c r="L254" s="10"/>
      <c r="M254" s="11"/>
      <c r="N254" s="9"/>
      <c r="O254" s="9" t="str">
        <f t="shared" ca="1" si="18"/>
        <v>N/A</v>
      </c>
      <c r="P254" s="10"/>
      <c r="Q254" s="11"/>
      <c r="R254" s="11"/>
      <c r="S254" s="11"/>
      <c r="T254" s="9"/>
      <c r="U254" s="9" t="str">
        <f t="shared" ca="1" si="19"/>
        <v>N/A</v>
      </c>
      <c r="V254" s="10"/>
      <c r="W254" s="11"/>
      <c r="X254" s="9"/>
      <c r="Y254" s="9"/>
      <c r="Z254" s="9"/>
      <c r="AA254" s="10"/>
      <c r="AB254" s="10"/>
      <c r="AC254" s="11"/>
    </row>
    <row r="255" spans="2:29" ht="15" customHeight="1">
      <c r="B255" s="9" t="str">
        <f t="shared" si="15"/>
        <v/>
      </c>
      <c r="C255" s="11"/>
      <c r="D255" s="9"/>
      <c r="E255" s="9"/>
      <c r="F255" s="10"/>
      <c r="G255" s="11"/>
      <c r="H255" s="36" t="str">
        <f t="shared" ca="1" si="16"/>
        <v>N/A</v>
      </c>
      <c r="I255" s="10"/>
      <c r="J255" s="9"/>
      <c r="K255" s="36" t="str">
        <f t="shared" ca="1" si="17"/>
        <v>N/A</v>
      </c>
      <c r="L255" s="10"/>
      <c r="M255" s="11"/>
      <c r="N255" s="9"/>
      <c r="O255" s="9" t="str">
        <f t="shared" ca="1" si="18"/>
        <v>N/A</v>
      </c>
      <c r="P255" s="10"/>
      <c r="Q255" s="11"/>
      <c r="R255" s="11"/>
      <c r="S255" s="11"/>
      <c r="T255" s="9"/>
      <c r="U255" s="9" t="str">
        <f t="shared" ca="1" si="19"/>
        <v>N/A</v>
      </c>
      <c r="V255" s="10"/>
      <c r="W255" s="11"/>
      <c r="X255" s="9"/>
      <c r="Y255" s="9"/>
      <c r="Z255" s="9"/>
      <c r="AA255" s="10"/>
      <c r="AB255" s="10"/>
      <c r="AC255" s="11"/>
    </row>
    <row r="256" spans="2:29" ht="15" customHeight="1">
      <c r="B256" s="9" t="str">
        <f t="shared" si="15"/>
        <v/>
      </c>
      <c r="C256" s="11"/>
      <c r="D256" s="9"/>
      <c r="E256" s="9"/>
      <c r="F256" s="10"/>
      <c r="G256" s="11"/>
      <c r="H256" s="36" t="str">
        <f t="shared" ca="1" si="16"/>
        <v>N/A</v>
      </c>
      <c r="I256" s="10"/>
      <c r="J256" s="9"/>
      <c r="K256" s="36" t="str">
        <f t="shared" ca="1" si="17"/>
        <v>N/A</v>
      </c>
      <c r="L256" s="10"/>
      <c r="M256" s="11"/>
      <c r="N256" s="9"/>
      <c r="O256" s="9" t="str">
        <f t="shared" ca="1" si="18"/>
        <v>N/A</v>
      </c>
      <c r="P256" s="10"/>
      <c r="Q256" s="11"/>
      <c r="R256" s="11"/>
      <c r="S256" s="11"/>
      <c r="T256" s="9"/>
      <c r="U256" s="9" t="str">
        <f t="shared" ca="1" si="19"/>
        <v>N/A</v>
      </c>
      <c r="V256" s="10"/>
      <c r="W256" s="11"/>
      <c r="X256" s="9"/>
      <c r="Y256" s="9"/>
      <c r="Z256" s="9"/>
      <c r="AA256" s="10"/>
      <c r="AB256" s="10"/>
      <c r="AC256" s="11"/>
    </row>
  </sheetData>
  <autoFilter ref="B7:AC256" xr:uid="{00000000-0001-0000-0200-000000000000}"/>
  <mergeCells count="6">
    <mergeCell ref="B5:AC5"/>
    <mergeCell ref="B4:G4"/>
    <mergeCell ref="H4:M4"/>
    <mergeCell ref="N4:S4"/>
    <mergeCell ref="T4:Y4"/>
    <mergeCell ref="Z4:AC4"/>
  </mergeCells>
  <conditionalFormatting sqref="H8:H256">
    <cfRule type="colorScale" priority="12">
      <colorScale>
        <cfvo type="num" val="0"/>
        <cfvo type="num" val="7"/>
        <cfvo type="num" val="21"/>
        <color rgb="FF63BE7B"/>
        <color rgb="FFFFEB84"/>
        <color rgb="FFF8696B"/>
      </colorScale>
    </cfRule>
  </conditionalFormatting>
  <conditionalFormatting sqref="K8:K256">
    <cfRule type="colorScale" priority="13">
      <colorScale>
        <cfvo type="num" val="0"/>
        <cfvo type="num" val="7"/>
        <cfvo type="num" val="21"/>
        <color rgb="FF63BE7B"/>
        <color rgb="FFFFEB84"/>
        <color rgb="FFF8696B"/>
      </colorScale>
    </cfRule>
  </conditionalFormatting>
  <conditionalFormatting sqref="O8:O256">
    <cfRule type="colorScale" priority="14">
      <colorScale>
        <cfvo type="num" val="0"/>
        <cfvo type="num" val="7"/>
        <cfvo type="num" val="21"/>
        <color rgb="FF63BE7B"/>
        <color rgb="FFFFEB84"/>
        <color rgb="FFF8696B"/>
      </colorScale>
    </cfRule>
  </conditionalFormatting>
  <conditionalFormatting sqref="U8:U256">
    <cfRule type="colorScale" priority="15">
      <colorScale>
        <cfvo type="num" val="0"/>
        <cfvo type="num" val="7"/>
        <cfvo type="num" val="21"/>
        <color rgb="FF63BE7B"/>
        <color rgb="FFFFEB84"/>
        <color rgb="FFF8696B"/>
      </colorScale>
    </cfRule>
  </conditionalFormatting>
  <conditionalFormatting sqref="Z8:Z256">
    <cfRule type="cellIs" dxfId="11" priority="2" operator="equal">
      <formula>"Hired"</formula>
    </cfRule>
    <cfRule type="cellIs" dxfId="10" priority="3" operator="equal">
      <formula>"Active"</formula>
    </cfRule>
    <cfRule type="cellIs" dxfId="9" priority="4" operator="equal">
      <formula>"Rejected"</formula>
    </cfRule>
    <cfRule type="cellIs" dxfId="8" priority="5" operator="equal">
      <formula>"Withdrew"</formula>
    </cfRule>
    <cfRule type="cellIs" dxfId="7" priority="6" operator="equal">
      <formula>"On Hold"</formula>
    </cfRule>
  </conditionalFormatting>
  <pageMargins left="0.75" right="0.75" top="1" bottom="1" header="0.511811023622047" footer="0.511811023622047"/>
  <pageSetup paperSize="9" orientation="portrait" horizontalDpi="300" verticalDpi="300"/>
  <drawing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errorTitle="Invalid entry" error="Pick from list or add to the Lookups sheet." xr:uid="{00000000-0002-0000-0200-000000000000}">
          <x14:formula1>
            <xm:f>Lookups!$B$7:$B$27</xm:f>
          </x14:formula1>
          <xm:sqref>D8:D256</xm:sqref>
        </x14:dataValidation>
        <x14:dataValidation type="list" allowBlank="1" errorTitle="Invalid entry" error="Pick from list or add to the Lookups sheet." xr:uid="{00000000-0002-0000-0200-000001000000}">
          <x14:formula1>
            <xm:f>Lookups!$F$7:$F$14</xm:f>
          </x14:formula1>
          <x14:formula2>
            <xm:f>0</xm:f>
          </x14:formula2>
          <xm:sqref>E8:E256</xm:sqref>
        </x14:dataValidation>
        <x14:dataValidation type="list" allowBlank="1" errorTitle="Invalid entry" error="Pick from list or add to the Lookups sheet." xr:uid="{00000000-0002-0000-0200-000002000000}">
          <x14:formula1>
            <xm:f>Lookups!$E$7:$E$13</xm:f>
          </x14:formula1>
          <x14:formula2>
            <xm:f>0</xm:f>
          </x14:formula2>
          <xm:sqref>X8:X256 J8:J256 N8:O256 T8:U256</xm:sqref>
        </x14:dataValidation>
        <x14:dataValidation type="list" allowBlank="1" errorTitle="Invalid entry" error="Pick from list or add to the Lookups sheet." xr:uid="{00000000-0002-0000-0200-000007000000}">
          <x14:formula1>
            <xm:f>Lookups!$D$7:$D$11</xm:f>
          </x14:formula1>
          <x14:formula2>
            <xm:f>0</xm:f>
          </x14:formula2>
          <xm:sqref>Z8:AB256</xm:sqref>
        </x14:dataValidation>
        <x14:dataValidation type="list" allowBlank="1" showInputMessage="1" showErrorMessage="1" errorTitle="Invalid stage" error="Pick a value from the dropdown." xr:uid="{D7AF1CBF-5619-4927-BFC6-FDD342C18F5A}">
          <x14:formula1>
            <xm:f>Lookups!$C$7:$C$21</xm:f>
          </x14:formula1>
          <xm:sqref>Y8:Y256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EDB81B-F74D-4F63-AB8C-B9D080133BF9}">
  <sheetPr>
    <tabColor theme="4" tint="0.79998168889431442"/>
  </sheetPr>
  <dimension ref="A1:G19"/>
  <sheetViews>
    <sheetView showGridLines="0" topLeftCell="A2" workbookViewId="0">
      <selection activeCell="A4" sqref="A4:D4"/>
    </sheetView>
  </sheetViews>
  <sheetFormatPr defaultColWidth="9.140625" defaultRowHeight="15"/>
  <cols>
    <col min="1" max="1" width="37.7109375" style="21" customWidth="1"/>
    <col min="2" max="2" width="40.7109375" style="21" customWidth="1"/>
    <col min="3" max="3" width="31.28515625" style="21" customWidth="1"/>
    <col min="4" max="16384" width="9.140625" style="21"/>
  </cols>
  <sheetData>
    <row r="1" spans="1:7" s="1" customFormat="1" ht="24.95" customHeight="1"/>
    <row r="2" spans="1:7" s="2" customFormat="1" ht="24.95" customHeight="1"/>
    <row r="4" spans="1:7" ht="24.95">
      <c r="A4" s="98" t="s">
        <v>215</v>
      </c>
      <c r="B4" s="98"/>
      <c r="C4" s="98"/>
      <c r="D4" s="98"/>
    </row>
    <row r="6" spans="1:7" ht="17.100000000000001">
      <c r="A6" s="25" t="s">
        <v>216</v>
      </c>
      <c r="B6" s="25" t="s">
        <v>217</v>
      </c>
      <c r="C6" s="25" t="s">
        <v>218</v>
      </c>
      <c r="D6" s="19"/>
      <c r="E6" s="20" t="s">
        <v>219</v>
      </c>
    </row>
    <row r="7" spans="1:7" ht="26.1">
      <c r="A7" s="26" t="s">
        <v>220</v>
      </c>
      <c r="B7" s="26" t="s">
        <v>221</v>
      </c>
      <c r="C7" s="26" t="s">
        <v>222</v>
      </c>
      <c r="D7" s="19"/>
      <c r="E7" s="28"/>
      <c r="F7" s="23" t="s">
        <v>223</v>
      </c>
      <c r="G7" s="24" t="s">
        <v>224</v>
      </c>
    </row>
    <row r="8" spans="1:7" ht="33.950000000000003">
      <c r="A8" s="108" t="s">
        <v>225</v>
      </c>
      <c r="B8" s="27" t="s">
        <v>226</v>
      </c>
      <c r="C8" s="108" t="s">
        <v>227</v>
      </c>
      <c r="D8" s="22"/>
      <c r="E8" s="28"/>
      <c r="F8" s="23" t="s">
        <v>228</v>
      </c>
      <c r="G8" s="24" t="s">
        <v>229</v>
      </c>
    </row>
    <row r="9" spans="1:7" ht="104.1">
      <c r="A9" s="108"/>
      <c r="B9" s="27" t="s">
        <v>230</v>
      </c>
      <c r="C9" s="108"/>
      <c r="D9" s="22"/>
      <c r="E9" s="22"/>
    </row>
    <row r="10" spans="1:7" ht="87.75" customHeight="1">
      <c r="A10" s="108"/>
      <c r="B10" s="27" t="s">
        <v>231</v>
      </c>
      <c r="C10" s="108"/>
      <c r="D10" s="22"/>
      <c r="E10" s="22"/>
    </row>
    <row r="11" spans="1:7" ht="39">
      <c r="A11" s="108"/>
      <c r="B11" s="27" t="s">
        <v>232</v>
      </c>
      <c r="C11" s="108"/>
      <c r="D11" s="22"/>
      <c r="E11" s="22"/>
    </row>
    <row r="12" spans="1:7" ht="51.95">
      <c r="A12" s="108"/>
      <c r="B12" s="27" t="s">
        <v>233</v>
      </c>
      <c r="C12" s="108"/>
      <c r="D12" s="22"/>
      <c r="E12" s="22"/>
    </row>
    <row r="13" spans="1:7" ht="65.099999999999994">
      <c r="A13" s="108"/>
      <c r="B13" s="27" t="s">
        <v>234</v>
      </c>
      <c r="C13" s="108"/>
      <c r="D13" s="22"/>
      <c r="E13" s="22"/>
    </row>
    <row r="14" spans="1:7" ht="39">
      <c r="A14" s="108"/>
      <c r="B14" s="27" t="s">
        <v>235</v>
      </c>
      <c r="C14" s="108"/>
      <c r="D14" s="22"/>
      <c r="E14" s="22"/>
    </row>
    <row r="15" spans="1:7" ht="54.75" customHeight="1">
      <c r="A15" s="108"/>
      <c r="B15" s="27" t="s">
        <v>236</v>
      </c>
      <c r="C15" s="108"/>
      <c r="D15" s="22"/>
      <c r="E15" s="22"/>
    </row>
    <row r="16" spans="1:7" ht="43.5" customHeight="1">
      <c r="A16" s="108"/>
      <c r="B16" s="27" t="s">
        <v>237</v>
      </c>
      <c r="C16" s="108"/>
      <c r="D16" s="22"/>
      <c r="E16" s="22"/>
    </row>
    <row r="17" spans="1:5" ht="39">
      <c r="A17" s="108"/>
      <c r="B17" s="27" t="s">
        <v>238</v>
      </c>
      <c r="C17" s="108"/>
      <c r="D17" s="22"/>
      <c r="E17" s="22"/>
    </row>
    <row r="18" spans="1:5" ht="26.1">
      <c r="A18" s="108"/>
      <c r="B18" s="38" t="s">
        <v>239</v>
      </c>
      <c r="C18" s="108"/>
      <c r="D18" s="22"/>
      <c r="E18" s="22"/>
    </row>
    <row r="19" spans="1:5" ht="15.95">
      <c r="A19" s="22"/>
      <c r="B19" s="22"/>
      <c r="C19" s="22"/>
      <c r="D19" s="22"/>
      <c r="E19" s="22"/>
    </row>
  </sheetData>
  <mergeCells count="3">
    <mergeCell ref="A8:A18"/>
    <mergeCell ref="C8:C18"/>
    <mergeCell ref="A4:D4"/>
  </mergeCells>
  <hyperlinks>
    <hyperlink ref="G8" r:id="rId1" xr:uid="{E71DE68A-D1C7-4430-8C77-9503BE500023}"/>
    <hyperlink ref="G7" r:id="rId2" xr:uid="{4D4F25CB-D0CA-4DE3-A91C-364D20C79DB8}"/>
  </hyperlinks>
  <pageMargins left="0.7" right="0.7" top="0.75" bottom="0.75" header="0.3" footer="0.3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4" tint="0.79998168889431442"/>
  </sheetPr>
  <dimension ref="B1:H31"/>
  <sheetViews>
    <sheetView showGridLines="0" zoomScale="85" zoomScaleNormal="85" workbookViewId="0">
      <selection activeCell="E17" sqref="E17"/>
    </sheetView>
  </sheetViews>
  <sheetFormatPr defaultColWidth="8.42578125" defaultRowHeight="12.95"/>
  <cols>
    <col min="1" max="1" width="2.42578125" style="3" customWidth="1"/>
    <col min="2" max="2" width="42" style="3" customWidth="1"/>
    <col min="3" max="3" width="18" style="3" customWidth="1"/>
    <col min="4" max="4" width="22" style="3" customWidth="1"/>
    <col min="5" max="5" width="21.85546875" style="3" customWidth="1"/>
    <col min="6" max="7" width="22" style="3" customWidth="1"/>
    <col min="8" max="8" width="50" style="3" customWidth="1"/>
    <col min="9" max="16384" width="8.42578125" style="3"/>
  </cols>
  <sheetData>
    <row r="1" spans="2:8" s="1" customFormat="1" ht="24.95" customHeight="1"/>
    <row r="2" spans="2:8" s="2" customFormat="1" ht="24.95" customHeight="1"/>
    <row r="4" spans="2:8" ht="27.75" customHeight="1">
      <c r="B4" s="98" t="s">
        <v>240</v>
      </c>
      <c r="C4" s="98"/>
      <c r="D4" s="98"/>
      <c r="E4" s="98"/>
      <c r="F4" s="98"/>
      <c r="G4" s="98"/>
      <c r="H4" s="64"/>
    </row>
    <row r="5" spans="2:8" ht="18" customHeight="1">
      <c r="B5" s="107" t="s">
        <v>241</v>
      </c>
      <c r="C5" s="107"/>
      <c r="D5" s="107"/>
      <c r="E5" s="107"/>
      <c r="F5" s="107"/>
      <c r="G5" s="107"/>
      <c r="H5" s="107"/>
    </row>
    <row r="7" spans="2:8" ht="21.75" customHeight="1">
      <c r="B7" s="109" t="s">
        <v>242</v>
      </c>
      <c r="C7" s="109"/>
      <c r="D7" s="109"/>
      <c r="E7" s="109"/>
      <c r="F7" s="109"/>
      <c r="G7" s="109"/>
      <c r="H7" s="109"/>
    </row>
    <row r="8" spans="2:8" ht="42" customHeight="1">
      <c r="B8" s="6" t="s">
        <v>16</v>
      </c>
      <c r="C8" s="6" t="s">
        <v>243</v>
      </c>
      <c r="D8" s="6" t="s">
        <v>244</v>
      </c>
      <c r="E8" s="6" t="s">
        <v>245</v>
      </c>
      <c r="F8" s="6" t="s">
        <v>246</v>
      </c>
      <c r="G8" s="6" t="s">
        <v>247</v>
      </c>
      <c r="H8" s="6" t="s">
        <v>101</v>
      </c>
    </row>
    <row r="9" spans="2:8" ht="25.5" customHeight="1">
      <c r="B9" s="12" t="s">
        <v>22</v>
      </c>
      <c r="C9" s="13">
        <v>2</v>
      </c>
      <c r="D9" s="13">
        <v>20</v>
      </c>
      <c r="E9" s="14">
        <f>C9*D9</f>
        <v>40</v>
      </c>
      <c r="F9" s="13">
        <v>40</v>
      </c>
      <c r="G9" s="15">
        <f>IFERROR(F9/E9,0)</f>
        <v>1</v>
      </c>
      <c r="H9" s="16" t="s">
        <v>248</v>
      </c>
    </row>
    <row r="10" spans="2:8" ht="72.95" customHeight="1">
      <c r="B10" s="12" t="s">
        <v>249</v>
      </c>
      <c r="C10" s="13">
        <v>13</v>
      </c>
      <c r="D10" s="13">
        <v>2</v>
      </c>
      <c r="E10" s="14">
        <f>C10*D10</f>
        <v>26</v>
      </c>
      <c r="F10" s="13">
        <v>20</v>
      </c>
      <c r="G10" s="15">
        <f>IFERROR(F10/E10,0)</f>
        <v>0.76923076923076927</v>
      </c>
      <c r="H10" s="16" t="s">
        <v>250</v>
      </c>
    </row>
    <row r="11" spans="2:8" ht="224.1">
      <c r="B11" s="12" t="s">
        <v>251</v>
      </c>
      <c r="C11" s="13">
        <v>29</v>
      </c>
      <c r="D11" s="13">
        <v>1</v>
      </c>
      <c r="E11" s="14">
        <f>C11*D11</f>
        <v>29</v>
      </c>
      <c r="F11" s="13">
        <v>8</v>
      </c>
      <c r="G11" s="15">
        <f>IFERROR(F11/E11,0)</f>
        <v>0.27586206896551724</v>
      </c>
      <c r="H11" s="16" t="s">
        <v>252</v>
      </c>
    </row>
    <row r="12" spans="2:8" ht="42">
      <c r="B12" s="12" t="s">
        <v>253</v>
      </c>
      <c r="C12" s="13">
        <v>4</v>
      </c>
      <c r="D12" s="13">
        <v>2</v>
      </c>
      <c r="E12" s="14">
        <f>C12*D12</f>
        <v>8</v>
      </c>
      <c r="F12" s="13">
        <v>4</v>
      </c>
      <c r="G12" s="15">
        <f>IFERROR(F12/E12,0)</f>
        <v>0.5</v>
      </c>
      <c r="H12" s="16" t="s">
        <v>254</v>
      </c>
    </row>
    <row r="15" spans="2:8" ht="21.75" customHeight="1">
      <c r="B15" s="109" t="s">
        <v>255</v>
      </c>
      <c r="C15" s="109"/>
      <c r="D15" s="109"/>
      <c r="E15" s="109"/>
      <c r="F15" s="109"/>
      <c r="G15" s="109"/>
      <c r="H15" s="109"/>
    </row>
    <row r="16" spans="2:8" ht="15" customHeight="1">
      <c r="B16" s="107" t="s">
        <v>256</v>
      </c>
      <c r="C16" s="107"/>
      <c r="D16" s="107"/>
      <c r="E16" s="107"/>
      <c r="F16" s="107"/>
      <c r="G16" s="107"/>
      <c r="H16" s="107"/>
    </row>
    <row r="17" spans="2:6" ht="42" customHeight="1">
      <c r="B17" s="6" t="s">
        <v>54</v>
      </c>
      <c r="C17" s="6" t="s">
        <v>257</v>
      </c>
      <c r="D17" s="6" t="s">
        <v>258</v>
      </c>
      <c r="E17" s="6" t="s">
        <v>259</v>
      </c>
      <c r="F17" s="6" t="s">
        <v>260</v>
      </c>
    </row>
    <row r="18" spans="2:6" ht="15" customHeight="1">
      <c r="B18" s="12" t="s">
        <v>63</v>
      </c>
      <c r="C18" s="13">
        <v>5</v>
      </c>
      <c r="D18" s="14">
        <f>COUNTIFS('Candidate Tracker'!$D$8:$D$256,B18,'Candidate Tracker'!$Z$8:$Z$256,"Active")</f>
        <v>15</v>
      </c>
      <c r="E18" s="17">
        <f t="shared" ref="E18:E31" si="0">IFERROR(D18/C18,0)</f>
        <v>3</v>
      </c>
      <c r="F18" s="14" t="str">
        <f t="shared" ref="F18:F31" si="1">IF(C18=0,"No specialist",IF(E18&gt;=3,"⚠ HIGH",IF(E18&gt;=1.5,"Medium","OK")))</f>
        <v>⚠ HIGH</v>
      </c>
    </row>
    <row r="19" spans="2:6" ht="15" customHeight="1">
      <c r="B19" s="12" t="s">
        <v>64</v>
      </c>
      <c r="C19" s="13">
        <v>0</v>
      </c>
      <c r="D19" s="14">
        <f>COUNTIFS('Candidate Tracker'!$D$8:$D$256,B19,'Candidate Tracker'!$Z$8:$Z$256,"Active")</f>
        <v>10</v>
      </c>
      <c r="E19" s="17">
        <f t="shared" si="0"/>
        <v>0</v>
      </c>
      <c r="F19" s="14" t="str">
        <f t="shared" si="1"/>
        <v>No specialist</v>
      </c>
    </row>
    <row r="20" spans="2:6" ht="15" customHeight="1">
      <c r="B20" s="12" t="s">
        <v>65</v>
      </c>
      <c r="C20" s="13">
        <v>3</v>
      </c>
      <c r="D20" s="14">
        <f>COUNTIFS('Candidate Tracker'!$D$8:$D$256,B20,'Candidate Tracker'!$Z$8:$Z$256,"Active")</f>
        <v>16</v>
      </c>
      <c r="E20" s="17">
        <f t="shared" si="0"/>
        <v>5.333333333333333</v>
      </c>
      <c r="F20" s="14" t="str">
        <f t="shared" si="1"/>
        <v>⚠ HIGH</v>
      </c>
    </row>
    <row r="21" spans="2:6" ht="15" customHeight="1">
      <c r="B21" s="12" t="s">
        <v>66</v>
      </c>
      <c r="C21" s="13">
        <v>7</v>
      </c>
      <c r="D21" s="14">
        <f>COUNTIFS('Candidate Tracker'!$D$8:$D$256,B21,'Candidate Tracker'!$Z$8:$Z$256,"Active")</f>
        <v>0</v>
      </c>
      <c r="E21" s="17">
        <f t="shared" si="0"/>
        <v>0</v>
      </c>
      <c r="F21" s="14" t="str">
        <f t="shared" si="1"/>
        <v>OK</v>
      </c>
    </row>
    <row r="22" spans="2:6" ht="15" customHeight="1">
      <c r="B22" s="12" t="s">
        <v>67</v>
      </c>
      <c r="C22" s="13">
        <v>4</v>
      </c>
      <c r="D22" s="14">
        <f>COUNTIFS('Candidate Tracker'!$D$8:$D$256,B22,'Candidate Tracker'!$Z$8:$Z$256,"Active")</f>
        <v>0</v>
      </c>
      <c r="E22" s="17">
        <f t="shared" si="0"/>
        <v>0</v>
      </c>
      <c r="F22" s="14" t="str">
        <f t="shared" si="1"/>
        <v>OK</v>
      </c>
    </row>
    <row r="23" spans="2:6" ht="15" customHeight="1">
      <c r="B23" s="12" t="s">
        <v>68</v>
      </c>
      <c r="C23" s="13">
        <v>2</v>
      </c>
      <c r="D23" s="14">
        <f>COUNTIFS('Candidate Tracker'!$D$8:$D$256,B23,'Candidate Tracker'!$Z$8:$Z$256,"Active")</f>
        <v>0</v>
      </c>
      <c r="E23" s="17">
        <f t="shared" si="0"/>
        <v>0</v>
      </c>
      <c r="F23" s="14" t="str">
        <f t="shared" si="1"/>
        <v>OK</v>
      </c>
    </row>
    <row r="24" spans="2:6" ht="15" customHeight="1">
      <c r="B24" s="12" t="s">
        <v>69</v>
      </c>
      <c r="C24" s="13">
        <v>2</v>
      </c>
      <c r="D24" s="14">
        <f>COUNTIFS('Candidate Tracker'!$D$8:$D$256,B24,'Candidate Tracker'!$Z$8:$Z$256,"Active")</f>
        <v>0</v>
      </c>
      <c r="E24" s="17">
        <f t="shared" si="0"/>
        <v>0</v>
      </c>
      <c r="F24" s="14" t="str">
        <f t="shared" si="1"/>
        <v>OK</v>
      </c>
    </row>
    <row r="25" spans="2:6" ht="15" customHeight="1">
      <c r="B25" s="12" t="s">
        <v>70</v>
      </c>
      <c r="C25" s="13">
        <v>2</v>
      </c>
      <c r="D25" s="14">
        <f>COUNTIFS('Candidate Tracker'!$D$8:$D$256,B25,'Candidate Tracker'!$Z$8:$Z$256,"Active")</f>
        <v>9</v>
      </c>
      <c r="E25" s="17">
        <f t="shared" si="0"/>
        <v>4.5</v>
      </c>
      <c r="F25" s="14" t="str">
        <f t="shared" si="1"/>
        <v>⚠ HIGH</v>
      </c>
    </row>
    <row r="26" spans="2:6" ht="15" customHeight="1">
      <c r="B26" s="12" t="s">
        <v>261</v>
      </c>
      <c r="C26" s="13">
        <v>0</v>
      </c>
      <c r="D26" s="14">
        <f>COUNTIFS('Candidate Tracker'!$D$8:$D$256,B26,'Candidate Tracker'!$Z$8:$Z$256,"Active")</f>
        <v>0</v>
      </c>
      <c r="E26" s="17">
        <f t="shared" si="0"/>
        <v>0</v>
      </c>
      <c r="F26" s="14" t="str">
        <f t="shared" si="1"/>
        <v>No specialist</v>
      </c>
    </row>
    <row r="27" spans="2:6" ht="15" customHeight="1">
      <c r="B27" s="12" t="s">
        <v>262</v>
      </c>
      <c r="C27" s="13">
        <v>0</v>
      </c>
      <c r="D27" s="14">
        <f>COUNTIFS('Candidate Tracker'!$D$8:$D$256,B27,'Candidate Tracker'!$Z$8:$Z$256,"Active")</f>
        <v>0</v>
      </c>
      <c r="E27" s="17">
        <f t="shared" si="0"/>
        <v>0</v>
      </c>
      <c r="F27" s="14" t="str">
        <f t="shared" si="1"/>
        <v>No specialist</v>
      </c>
    </row>
    <row r="28" spans="2:6" ht="15" customHeight="1">
      <c r="B28" s="12" t="s">
        <v>263</v>
      </c>
      <c r="C28" s="13">
        <v>0</v>
      </c>
      <c r="D28" s="14">
        <f>COUNTIFS('Candidate Tracker'!$D$8:$D$256,B28,'Candidate Tracker'!$Z$8:$Z$256,"Active")</f>
        <v>0</v>
      </c>
      <c r="E28" s="17">
        <f t="shared" si="0"/>
        <v>0</v>
      </c>
      <c r="F28" s="14" t="str">
        <f t="shared" si="1"/>
        <v>No specialist</v>
      </c>
    </row>
    <row r="29" spans="2:6" ht="15" customHeight="1">
      <c r="B29" s="12" t="s">
        <v>264</v>
      </c>
      <c r="C29" s="13">
        <v>2</v>
      </c>
      <c r="D29" s="14">
        <f>COUNTIFS('Candidate Tracker'!$D$8:$D$256,B29,'Candidate Tracker'!$Z$8:$Z$256,"Active")</f>
        <v>0</v>
      </c>
      <c r="E29" s="17">
        <f t="shared" si="0"/>
        <v>0</v>
      </c>
      <c r="F29" s="14" t="str">
        <f t="shared" si="1"/>
        <v>OK</v>
      </c>
    </row>
    <row r="30" spans="2:6" ht="15" customHeight="1">
      <c r="B30" s="12" t="s">
        <v>265</v>
      </c>
      <c r="C30" s="13">
        <v>2</v>
      </c>
      <c r="D30" s="14">
        <f>COUNTIFS('Candidate Tracker'!$D$8:$D$256,B30,'Candidate Tracker'!$Z$8:$Z$256,"Active")</f>
        <v>0</v>
      </c>
      <c r="E30" s="17">
        <f t="shared" si="0"/>
        <v>0</v>
      </c>
      <c r="F30" s="14" t="str">
        <f t="shared" si="1"/>
        <v>OK</v>
      </c>
    </row>
    <row r="31" spans="2:6" ht="15" customHeight="1">
      <c r="B31" s="12" t="s">
        <v>266</v>
      </c>
      <c r="C31" s="13">
        <v>0</v>
      </c>
      <c r="D31" s="14">
        <f>COUNTIFS('Candidate Tracker'!$D$8:$D$256,B31,'Candidate Tracker'!$Z$8:$Z$256,"Active")</f>
        <v>0</v>
      </c>
      <c r="E31" s="17">
        <f t="shared" si="0"/>
        <v>0</v>
      </c>
      <c r="F31" s="14" t="str">
        <f t="shared" si="1"/>
        <v>No specialist</v>
      </c>
    </row>
  </sheetData>
  <mergeCells count="5">
    <mergeCell ref="B5:H5"/>
    <mergeCell ref="B7:H7"/>
    <mergeCell ref="B15:H15"/>
    <mergeCell ref="B16:H16"/>
    <mergeCell ref="B4:G4"/>
  </mergeCells>
  <conditionalFormatting sqref="F18:F31">
    <cfRule type="expression" dxfId="6" priority="5">
      <formula>$F18="⚠ HIGH"</formula>
    </cfRule>
    <cfRule type="expression" dxfId="5" priority="6">
      <formula>$F18="Medium"</formula>
    </cfRule>
    <cfRule type="expression" dxfId="4" priority="7">
      <formula>$F18="OK"</formula>
    </cfRule>
    <cfRule type="expression" dxfId="3" priority="8">
      <formula>$F18="No specialist"</formula>
    </cfRule>
  </conditionalFormatting>
  <conditionalFormatting sqref="G9:G12">
    <cfRule type="cellIs" dxfId="2" priority="2" operator="greaterThan">
      <formula>1</formula>
    </cfRule>
    <cfRule type="cellIs" dxfId="1" priority="3" operator="between">
      <formula>0.8</formula>
      <formula>1</formula>
    </cfRule>
    <cfRule type="cellIs" dxfId="0" priority="4" operator="lessThan">
      <formula>0.8</formula>
    </cfRule>
  </conditionalFormatting>
  <pageMargins left="0.75" right="0.75" top="1" bottom="1" header="0.511811023622047" footer="0.511811023622047"/>
  <pageSetup paperSize="9" orientation="portrait" horizontalDpi="300" verticalDpi="300"/>
  <drawing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0" tint="-4.9989318521683403E-2"/>
  </sheetPr>
  <dimension ref="B1:N27"/>
  <sheetViews>
    <sheetView showGridLines="0" zoomScale="85" zoomScaleNormal="85" workbookViewId="0">
      <selection activeCell="B28" sqref="B28"/>
    </sheetView>
  </sheetViews>
  <sheetFormatPr defaultColWidth="8.42578125" defaultRowHeight="12.95"/>
  <cols>
    <col min="1" max="1" width="2.42578125" style="3" customWidth="1"/>
    <col min="2" max="2" width="32" style="3" customWidth="1"/>
    <col min="3" max="3" width="45.28515625" style="3" bestFit="1" customWidth="1"/>
    <col min="4" max="5" width="14" style="3" customWidth="1"/>
    <col min="6" max="6" width="22" style="3" customWidth="1"/>
    <col min="7" max="7" width="8.42578125" style="3"/>
    <col min="8" max="8" width="18" style="3" customWidth="1"/>
    <col min="9" max="16384" width="8.42578125" style="3"/>
  </cols>
  <sheetData>
    <row r="1" spans="2:14" s="1" customFormat="1" ht="24.95" customHeight="1"/>
    <row r="2" spans="2:14" s="2" customFormat="1" ht="24.95" customHeight="1"/>
    <row r="4" spans="2:14" ht="24.95">
      <c r="B4" s="98" t="s">
        <v>267</v>
      </c>
      <c r="C4" s="98"/>
      <c r="D4" s="98"/>
      <c r="E4" s="98"/>
      <c r="F4" s="64"/>
    </row>
    <row r="6" spans="2:14" ht="15" customHeight="1">
      <c r="B6" s="8" t="s">
        <v>268</v>
      </c>
      <c r="C6" s="8" t="s">
        <v>98</v>
      </c>
      <c r="D6" s="8" t="s">
        <v>20</v>
      </c>
      <c r="E6" s="8" t="s">
        <v>269</v>
      </c>
      <c r="F6" s="8" t="s">
        <v>78</v>
      </c>
      <c r="H6" s="110" t="s">
        <v>270</v>
      </c>
      <c r="I6" s="110"/>
      <c r="J6" s="110"/>
      <c r="K6" s="110"/>
      <c r="L6" s="110"/>
      <c r="M6" s="110"/>
      <c r="N6" s="110"/>
    </row>
    <row r="7" spans="2:14" ht="15" customHeight="1">
      <c r="B7" s="11" t="s">
        <v>63</v>
      </c>
      <c r="C7" s="11" t="s">
        <v>271</v>
      </c>
      <c r="D7" s="11" t="s">
        <v>108</v>
      </c>
      <c r="E7" s="11" t="s">
        <v>272</v>
      </c>
      <c r="F7" s="11" t="s">
        <v>103</v>
      </c>
      <c r="H7" s="110"/>
      <c r="I7" s="110"/>
      <c r="J7" s="110"/>
      <c r="K7" s="110"/>
      <c r="L7" s="110"/>
      <c r="M7" s="110"/>
      <c r="N7" s="110"/>
    </row>
    <row r="8" spans="2:14" ht="15" customHeight="1">
      <c r="B8" s="11" t="s">
        <v>64</v>
      </c>
      <c r="C8" s="11" t="s">
        <v>175</v>
      </c>
      <c r="D8" s="11" t="s">
        <v>273</v>
      </c>
      <c r="E8" s="11" t="s">
        <v>105</v>
      </c>
      <c r="F8" s="11" t="s">
        <v>274</v>
      </c>
      <c r="H8" s="110"/>
      <c r="I8" s="110"/>
      <c r="J8" s="110"/>
      <c r="K8" s="110"/>
      <c r="L8" s="110"/>
      <c r="M8" s="110"/>
      <c r="N8" s="110"/>
    </row>
    <row r="9" spans="2:14" ht="15" customHeight="1">
      <c r="B9" s="11" t="s">
        <v>65</v>
      </c>
      <c r="C9" s="11" t="s">
        <v>170</v>
      </c>
      <c r="D9" s="11" t="s">
        <v>275</v>
      </c>
      <c r="E9" s="11" t="s">
        <v>149</v>
      </c>
      <c r="F9" s="11" t="s">
        <v>276</v>
      </c>
    </row>
    <row r="10" spans="2:14" ht="15" customHeight="1">
      <c r="B10" s="11" t="s">
        <v>66</v>
      </c>
      <c r="C10" s="11" t="s">
        <v>173</v>
      </c>
      <c r="D10" s="11" t="s">
        <v>160</v>
      </c>
      <c r="E10" s="11" t="s">
        <v>277</v>
      </c>
      <c r="F10" s="11" t="s">
        <v>278</v>
      </c>
    </row>
    <row r="11" spans="2:14" ht="15" customHeight="1">
      <c r="B11" s="11" t="s">
        <v>67</v>
      </c>
      <c r="C11" s="11" t="s">
        <v>107</v>
      </c>
      <c r="D11" s="11" t="s">
        <v>168</v>
      </c>
      <c r="E11" s="11" t="s">
        <v>279</v>
      </c>
      <c r="F11" s="11" t="s">
        <v>280</v>
      </c>
    </row>
    <row r="12" spans="2:14" ht="15" customHeight="1">
      <c r="B12" s="11" t="s">
        <v>68</v>
      </c>
      <c r="C12" s="11" t="s">
        <v>130</v>
      </c>
      <c r="E12" s="11" t="s">
        <v>281</v>
      </c>
      <c r="F12" s="11" t="s">
        <v>282</v>
      </c>
    </row>
    <row r="13" spans="2:14" ht="15" customHeight="1">
      <c r="B13" s="11" t="s">
        <v>69</v>
      </c>
      <c r="C13" s="11" t="s">
        <v>135</v>
      </c>
      <c r="E13" s="11" t="s">
        <v>283</v>
      </c>
      <c r="F13" s="11" t="s">
        <v>284</v>
      </c>
    </row>
    <row r="14" spans="2:14" ht="15" customHeight="1">
      <c r="B14" s="11" t="s">
        <v>70</v>
      </c>
      <c r="C14" s="11" t="s">
        <v>285</v>
      </c>
      <c r="F14" s="11" t="s">
        <v>286</v>
      </c>
    </row>
    <row r="15" spans="2:14" ht="15" customHeight="1">
      <c r="B15" s="11" t="s">
        <v>287</v>
      </c>
      <c r="C15" s="11" t="s">
        <v>163</v>
      </c>
    </row>
    <row r="16" spans="2:14" ht="15" customHeight="1">
      <c r="B16" s="11" t="s">
        <v>261</v>
      </c>
      <c r="C16" s="11" t="s">
        <v>288</v>
      </c>
    </row>
    <row r="17" spans="2:3" ht="15" customHeight="1">
      <c r="B17" s="11" t="s">
        <v>262</v>
      </c>
      <c r="C17" s="30" t="s">
        <v>30</v>
      </c>
    </row>
    <row r="18" spans="2:3" ht="15" customHeight="1">
      <c r="B18" s="29" t="s">
        <v>263</v>
      </c>
      <c r="C18" s="30" t="s">
        <v>31</v>
      </c>
    </row>
    <row r="19" spans="2:3" ht="15" customHeight="1">
      <c r="B19" s="29" t="s">
        <v>264</v>
      </c>
      <c r="C19" s="30" t="s">
        <v>275</v>
      </c>
    </row>
    <row r="20" spans="2:3" ht="15" customHeight="1">
      <c r="B20" s="29" t="s">
        <v>265</v>
      </c>
      <c r="C20" s="30" t="s">
        <v>160</v>
      </c>
    </row>
    <row r="21" spans="2:3" ht="15" customHeight="1">
      <c r="B21" s="11" t="s">
        <v>266</v>
      </c>
      <c r="C21" s="31" t="s">
        <v>273</v>
      </c>
    </row>
    <row r="22" spans="2:3" ht="15" customHeight="1">
      <c r="B22" s="11" t="s">
        <v>289</v>
      </c>
    </row>
    <row r="23" spans="2:3" ht="15" customHeight="1">
      <c r="B23" s="11" t="s">
        <v>290</v>
      </c>
    </row>
    <row r="24" spans="2:3" ht="15" customHeight="1">
      <c r="B24" s="11" t="s">
        <v>291</v>
      </c>
    </row>
    <row r="25" spans="2:3" ht="15" customHeight="1">
      <c r="B25" s="11" t="s">
        <v>292</v>
      </c>
    </row>
    <row r="26" spans="2:3" ht="15" customHeight="1">
      <c r="B26" s="11" t="s">
        <v>286</v>
      </c>
    </row>
    <row r="27" spans="2:3" ht="14.1">
      <c r="B27" s="11" t="s">
        <v>71</v>
      </c>
    </row>
  </sheetData>
  <mergeCells count="2">
    <mergeCell ref="H6:N8"/>
    <mergeCell ref="B4:E4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94E7FBC6435DD4DB481D82ABA481796" ma:contentTypeVersion="3" ma:contentTypeDescription="Create a new document." ma:contentTypeScope="" ma:versionID="d3a62fd44b76cde10c0567a5790abfb8">
  <xsd:schema xmlns:xsd="http://www.w3.org/2001/XMLSchema" xmlns:xs="http://www.w3.org/2001/XMLSchema" xmlns:p="http://schemas.microsoft.com/office/2006/metadata/properties" xmlns:ns2="73167651-2f91-4d5f-9be7-4a9acae14f25" targetNamespace="http://schemas.microsoft.com/office/2006/metadata/properties" ma:root="true" ma:fieldsID="8cda6fabc71f4594e55e568cde15d05e" ns2:_="">
    <xsd:import namespace="73167651-2f91-4d5f-9be7-4a9acae14f2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167651-2f91-4d5f-9be7-4a9acae14f2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6576FDF-5027-4E5B-9AD5-16FFCD72E88D}"/>
</file>

<file path=customXml/itemProps2.xml><?xml version="1.0" encoding="utf-8"?>
<ds:datastoreItem xmlns:ds="http://schemas.openxmlformats.org/officeDocument/2006/customXml" ds:itemID="{67AFE9C7-BEBA-4667-B37B-437076A57446}"/>
</file>

<file path=customXml/itemProps3.xml><?xml version="1.0" encoding="utf-8"?>
<ds:datastoreItem xmlns:ds="http://schemas.openxmlformats.org/officeDocument/2006/customXml" ds:itemID="{520E294B-2EF6-48CE-A61A-6F8B6C866FA0}"/>
</file>

<file path=docMetadata/LabelInfo.xml><?xml version="1.0" encoding="utf-8"?>
<clbl:labelList xmlns:clbl="http://schemas.microsoft.com/office/2020/mipLabelMetadata">
  <clbl:label id="{ea60d57e-af5b-4752-ac57-3e4f28ca11dc}" enabled="1" method="Standard" siteId="{36da45f1-dd2c-4d1f-af13-5abe46b9992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Goss, Angela</cp:lastModifiedBy>
  <cp:revision>0</cp:revision>
  <dcterms:created xsi:type="dcterms:W3CDTF">2026-05-01T16:06:11Z</dcterms:created>
  <dcterms:modified xsi:type="dcterms:W3CDTF">2026-05-04T19:56:34Z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0x010100B94E7FBC6435DD4DB481D82ABA481796</vt:lpwstr>
  </property>
  <property fmtid="{D5CDD505-2E9C-101B-9397-08002B2CF9AE}" pid="3" name="xd_ProgID">
    <vt:lpwstr/>
  </property>
  <property fmtid="{D5CDD505-2E9C-101B-9397-08002B2CF9AE}" pid="4" name="ComplianceAssetId">
    <vt:lpwstr/>
  </property>
  <property fmtid="{D5CDD505-2E9C-101B-9397-08002B2CF9AE}" pid="5" name="TemplateUrl">
    <vt:lpwstr/>
  </property>
  <property fmtid="{D5CDD505-2E9C-101B-9397-08002B2CF9AE}" pid="6" name="_ExtendedDescription">
    <vt:lpwstr/>
  </property>
  <property fmtid="{D5CDD505-2E9C-101B-9397-08002B2CF9AE}" pid="7" name="TriggerFlowInfo">
    <vt:lpwstr/>
  </property>
  <property fmtid="{D5CDD505-2E9C-101B-9397-08002B2CF9AE}" pid="8" name="xd_Signature">
    <vt:bool>false</vt:bool>
  </property>
</Properties>
</file>